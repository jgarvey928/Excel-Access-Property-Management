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n\Desktop\SER 416 JSGARVEY Final Project - Copy7\SER 416 JSGARVEY Final Project - Copy\"/>
    </mc:Choice>
  </mc:AlternateContent>
  <xr:revisionPtr revIDLastSave="0" documentId="13_ncr:1_{7CA2A6E1-15CF-4A74-8579-D46CCB8D0C7C}" xr6:coauthVersionLast="47" xr6:coauthVersionMax="47" xr10:uidLastSave="{00000000-0000-0000-0000-000000000000}"/>
  <bookViews>
    <workbookView xWindow="1900" yWindow="80" windowWidth="14400" windowHeight="9090" firstSheet="2" activeTab="2" xr2:uid="{00000000-000D-0000-FFFF-FFFF00000000}"/>
  </bookViews>
  <sheets>
    <sheet name="PrivTax-old" sheetId="3" r:id="rId1"/>
    <sheet name="1029" sheetId="6" r:id="rId2"/>
    <sheet name="35736" sheetId="7" r:id="rId3"/>
    <sheet name="2592" sheetId="8" r:id="rId4"/>
    <sheet name="5436" sheetId="9" r:id="rId5"/>
    <sheet name="932" sheetId="10" r:id="rId6"/>
    <sheet name="2614" sheetId="11" r:id="rId7"/>
    <sheet name="8995" sheetId="12" r:id="rId8"/>
    <sheet name="9001" sheetId="13" r:id="rId9"/>
    <sheet name="Lists" sheetId="14" r:id="rId10"/>
  </sheets>
  <definedNames>
    <definedName name="Months">Lists!$B$2:$B$13</definedName>
    <definedName name="Rent">'35736'!$G$10</definedName>
    <definedName name="TextMonths">Lists!$C$2:$C$13</definedName>
    <definedName name="Toda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64" i="7" l="1"/>
  <c r="B264" i="7"/>
  <c r="A264" i="7"/>
  <c r="H3" i="10" a="1"/>
  <c r="H3" i="10" s="1"/>
  <c r="H132" i="10"/>
  <c r="B132" i="10"/>
  <c r="A132" i="10"/>
  <c r="H131" i="10"/>
  <c r="B131" i="10"/>
  <c r="A131" i="10"/>
  <c r="H130" i="10"/>
  <c r="B130" i="10"/>
  <c r="A130" i="10"/>
  <c r="H129" i="10"/>
  <c r="B129" i="10"/>
  <c r="A129" i="10"/>
  <c r="A3" i="13"/>
  <c r="H3" i="13" s="1" a="1"/>
  <c r="H3" i="13" s="1"/>
  <c r="A3" i="12"/>
  <c r="H3" i="12" s="1" a="1"/>
  <c r="H3" i="12" s="1"/>
  <c r="A3" i="11"/>
  <c r="H3" i="11" s="1" a="1"/>
  <c r="H3" i="11" s="1"/>
  <c r="A3" i="8"/>
  <c r="D3" i="8" s="1" a="1"/>
  <c r="D3" i="8" s="1"/>
  <c r="D3" i="7" a="1"/>
  <c r="D3" i="7" s="1"/>
  <c r="A3" i="6"/>
  <c r="A3" i="9"/>
  <c r="D3" i="9" s="1" a="1"/>
  <c r="D3" i="9" s="1"/>
  <c r="B3" i="9"/>
  <c r="B3" i="7"/>
  <c r="B3" i="6"/>
  <c r="B3" i="8"/>
  <c r="B5" i="10"/>
  <c r="B7" i="10"/>
  <c r="C5" i="12"/>
  <c r="B5" i="12"/>
  <c r="A5" i="12"/>
  <c r="C5" i="10"/>
  <c r="A5" i="10"/>
  <c r="C5" i="9"/>
  <c r="B5" i="9"/>
  <c r="A5" i="9"/>
  <c r="C5" i="8"/>
  <c r="B5" i="8"/>
  <c r="A5" i="8"/>
  <c r="C5" i="13"/>
  <c r="B5" i="13"/>
  <c r="A5" i="13"/>
  <c r="C5" i="11"/>
  <c r="B5" i="11"/>
  <c r="A5" i="11"/>
  <c r="C5" i="7"/>
  <c r="B5" i="7"/>
  <c r="A5" i="7"/>
  <c r="A5" i="6"/>
  <c r="B5" i="6"/>
  <c r="C5" i="6"/>
  <c r="A7" i="7"/>
  <c r="B7" i="7"/>
  <c r="C7" i="7"/>
  <c r="H7" i="7"/>
  <c r="A7" i="8"/>
  <c r="B7" i="8"/>
  <c r="C7" i="8"/>
  <c r="H7" i="8"/>
  <c r="C52" i="13"/>
  <c r="C52" i="12"/>
  <c r="C54" i="12"/>
  <c r="C55" i="12"/>
  <c r="C56" i="12"/>
  <c r="C57" i="12"/>
  <c r="C58" i="12"/>
  <c r="C59" i="12"/>
  <c r="C60" i="12"/>
  <c r="C61" i="12"/>
  <c r="C62" i="12"/>
  <c r="C64" i="12"/>
  <c r="C66" i="12"/>
  <c r="C68" i="12"/>
  <c r="C70" i="12"/>
  <c r="C71" i="12"/>
  <c r="C73" i="12"/>
  <c r="C75" i="12"/>
  <c r="C76" i="12"/>
  <c r="C78" i="12"/>
  <c r="C80" i="12"/>
  <c r="C82" i="12"/>
  <c r="C84" i="12"/>
  <c r="C85" i="12"/>
  <c r="C86" i="12"/>
  <c r="C88" i="12"/>
  <c r="C89" i="12"/>
  <c r="C91" i="12"/>
  <c r="C93" i="12"/>
  <c r="C94" i="12"/>
  <c r="C96" i="12"/>
  <c r="C98" i="12"/>
  <c r="C100" i="12"/>
  <c r="C102" i="12"/>
  <c r="B31" i="12"/>
  <c r="A31" i="12"/>
  <c r="C33" i="12"/>
  <c r="B33" i="12"/>
  <c r="A33" i="12"/>
  <c r="C32" i="12"/>
  <c r="B32" i="12"/>
  <c r="A32" i="12"/>
  <c r="A116" i="11"/>
  <c r="A117" i="11"/>
  <c r="B117" i="11"/>
  <c r="C117" i="11"/>
  <c r="C116" i="11"/>
  <c r="C88" i="10"/>
  <c r="B88" i="10"/>
  <c r="A88" i="10"/>
  <c r="C87" i="10"/>
  <c r="B87" i="10"/>
  <c r="A87" i="10"/>
  <c r="B106" i="8"/>
  <c r="A106" i="8"/>
  <c r="B43" i="8"/>
  <c r="A43" i="8"/>
  <c r="B118" i="9"/>
  <c r="A118" i="9"/>
  <c r="B117" i="9"/>
  <c r="A117" i="9"/>
  <c r="C8" i="7"/>
  <c r="H3" i="9" l="1"/>
  <c r="B116" i="11"/>
  <c r="C7" i="13"/>
  <c r="C7" i="11"/>
  <c r="C263" i="7"/>
  <c r="B263" i="7"/>
  <c r="A263" i="7"/>
  <c r="C262" i="7"/>
  <c r="B262" i="7"/>
  <c r="A262" i="7"/>
  <c r="B261" i="7"/>
  <c r="C190" i="11"/>
  <c r="B190" i="11"/>
  <c r="A190" i="11"/>
  <c r="C189" i="11"/>
  <c r="B189" i="11"/>
  <c r="A189" i="11"/>
  <c r="C128" i="10"/>
  <c r="B128" i="10"/>
  <c r="A128" i="10"/>
  <c r="B127" i="10"/>
  <c r="A127" i="10"/>
  <c r="C207" i="9"/>
  <c r="B207" i="9"/>
  <c r="A207" i="9"/>
  <c r="B206" i="9"/>
  <c r="C59" i="13"/>
  <c r="B59" i="13"/>
  <c r="A59" i="13"/>
  <c r="D101" i="12"/>
  <c r="B101" i="12" s="1"/>
  <c r="B102" i="12"/>
  <c r="A102" i="12"/>
  <c r="C187" i="11"/>
  <c r="B187" i="11"/>
  <c r="A187" i="11"/>
  <c r="C186" i="11"/>
  <c r="B186" i="11"/>
  <c r="A186" i="11"/>
  <c r="D125" i="10"/>
  <c r="B125" i="10" s="1"/>
  <c r="C126" i="10"/>
  <c r="B126" i="10"/>
  <c r="A126" i="10"/>
  <c r="C205" i="9"/>
  <c r="B205" i="9"/>
  <c r="A205" i="9"/>
  <c r="C151" i="8"/>
  <c r="B151" i="8"/>
  <c r="A151" i="8"/>
  <c r="C150" i="8"/>
  <c r="B150" i="8"/>
  <c r="A150" i="8"/>
  <c r="D149" i="8"/>
  <c r="B149" i="8" s="1"/>
  <c r="C260" i="7"/>
  <c r="B260" i="7"/>
  <c r="A260" i="7"/>
  <c r="C259" i="7"/>
  <c r="B259" i="7"/>
  <c r="A259" i="7"/>
  <c r="D258" i="7"/>
  <c r="A258" i="7" s="1"/>
  <c r="C81" i="6"/>
  <c r="B81" i="6"/>
  <c r="A81" i="6"/>
  <c r="C57" i="13"/>
  <c r="B57" i="13"/>
  <c r="A57" i="13"/>
  <c r="D99" i="12"/>
  <c r="B99" i="12" s="1"/>
  <c r="D97" i="12"/>
  <c r="B97" i="12" s="1"/>
  <c r="B100" i="12"/>
  <c r="A100" i="12"/>
  <c r="B98" i="12"/>
  <c r="A98" i="12"/>
  <c r="C184" i="11"/>
  <c r="B184" i="11"/>
  <c r="A184" i="11"/>
  <c r="C183" i="11"/>
  <c r="B183" i="11"/>
  <c r="A183" i="11"/>
  <c r="C124" i="10"/>
  <c r="B124" i="10"/>
  <c r="A124" i="10"/>
  <c r="D123" i="10"/>
  <c r="B123" i="10" s="1"/>
  <c r="C203" i="9"/>
  <c r="B203" i="9"/>
  <c r="A203" i="9"/>
  <c r="D202" i="9"/>
  <c r="B202" i="9" s="1"/>
  <c r="C201" i="9"/>
  <c r="B201" i="9"/>
  <c r="A201" i="9"/>
  <c r="D200" i="9"/>
  <c r="B200" i="9" s="1"/>
  <c r="A145" i="8"/>
  <c r="B145" i="8"/>
  <c r="C145" i="8"/>
  <c r="C148" i="8"/>
  <c r="B148" i="8"/>
  <c r="A148" i="8"/>
  <c r="C147" i="8"/>
  <c r="B147" i="8"/>
  <c r="A147" i="8"/>
  <c r="D146" i="8"/>
  <c r="B146" i="8" s="1"/>
  <c r="C144" i="8"/>
  <c r="B144" i="8"/>
  <c r="A144" i="8"/>
  <c r="C143" i="8"/>
  <c r="B143" i="8"/>
  <c r="A143" i="8"/>
  <c r="D142" i="8"/>
  <c r="B142" i="8" s="1"/>
  <c r="C141" i="8"/>
  <c r="B141" i="8"/>
  <c r="A141" i="8"/>
  <c r="C140" i="8"/>
  <c r="B140" i="8"/>
  <c r="A140" i="8"/>
  <c r="D139" i="8"/>
  <c r="B139" i="8" s="1"/>
  <c r="C257" i="7"/>
  <c r="B257" i="7"/>
  <c r="A257" i="7"/>
  <c r="H256" i="7"/>
  <c r="H257" i="7" s="1"/>
  <c r="H258" i="7" s="1"/>
  <c r="H259" i="7" s="1"/>
  <c r="H260" i="7" s="1"/>
  <c r="H261" i="7" s="1"/>
  <c r="H262" i="7" s="1"/>
  <c r="H263" i="7" s="1"/>
  <c r="C256" i="7"/>
  <c r="B256" i="7"/>
  <c r="A256" i="7"/>
  <c r="D255" i="7"/>
  <c r="A255" i="7" s="1"/>
  <c r="C254" i="7"/>
  <c r="B254" i="7"/>
  <c r="A254" i="7"/>
  <c r="H253" i="7"/>
  <c r="H254" i="7" s="1"/>
  <c r="C253" i="7"/>
  <c r="B253" i="7"/>
  <c r="A253" i="7"/>
  <c r="D252" i="7"/>
  <c r="A252" i="7" s="1"/>
  <c r="D249" i="7"/>
  <c r="B249" i="7" s="1"/>
  <c r="A250" i="7"/>
  <c r="B250" i="7"/>
  <c r="C250" i="7"/>
  <c r="H250" i="7"/>
  <c r="H251" i="7" s="1"/>
  <c r="A251" i="7"/>
  <c r="B251" i="7"/>
  <c r="C251" i="7"/>
  <c r="C79" i="6"/>
  <c r="B79" i="6"/>
  <c r="A79" i="6"/>
  <c r="C77" i="6"/>
  <c r="B77" i="6"/>
  <c r="A77" i="6"/>
  <c r="C75" i="6"/>
  <c r="B75" i="6"/>
  <c r="A75" i="6"/>
  <c r="B56" i="13"/>
  <c r="C56" i="13"/>
  <c r="D55" i="13"/>
  <c r="B55" i="13" s="1"/>
  <c r="C54" i="13"/>
  <c r="B54" i="13"/>
  <c r="A54" i="13"/>
  <c r="D48" i="13"/>
  <c r="A48" i="13" s="1"/>
  <c r="C51" i="13"/>
  <c r="B51" i="13"/>
  <c r="A51" i="13"/>
  <c r="C50" i="13"/>
  <c r="B50" i="13"/>
  <c r="A50" i="13"/>
  <c r="A202" i="9" l="1"/>
  <c r="E202" i="9" s="1"/>
  <c r="C202" i="9" s="1"/>
  <c r="B258" i="7"/>
  <c r="E258" i="7" s="1"/>
  <c r="C258" i="7" s="1"/>
  <c r="D58" i="13"/>
  <c r="B58" i="13" s="1"/>
  <c r="A261" i="7"/>
  <c r="E261" i="7" s="1"/>
  <c r="C261" i="7" s="1"/>
  <c r="E127" i="10"/>
  <c r="C127" i="10" s="1"/>
  <c r="A206" i="9"/>
  <c r="E206" i="9" s="1"/>
  <c r="C206" i="9" s="1"/>
  <c r="A101" i="12"/>
  <c r="E101" i="12" s="1"/>
  <c r="C101" i="12" s="1"/>
  <c r="A125" i="10"/>
  <c r="E125" i="10" s="1"/>
  <c r="C125" i="10" s="1"/>
  <c r="A149" i="8"/>
  <c r="E149" i="8" s="1"/>
  <c r="C149" i="8" s="1"/>
  <c r="A99" i="12"/>
  <c r="E99" i="12" s="1"/>
  <c r="C99" i="12" s="1"/>
  <c r="A97" i="12"/>
  <c r="E97" i="12" s="1"/>
  <c r="C97" i="12" s="1"/>
  <c r="A123" i="10"/>
  <c r="E123" i="10" s="1"/>
  <c r="C123" i="10" s="1"/>
  <c r="A200" i="9"/>
  <c r="E200" i="9" s="1"/>
  <c r="C200" i="9" s="1"/>
  <c r="A139" i="8"/>
  <c r="E139" i="8" s="1"/>
  <c r="C139" i="8" s="1"/>
  <c r="A146" i="8"/>
  <c r="E146" i="8" s="1"/>
  <c r="C146" i="8" s="1"/>
  <c r="A142" i="8"/>
  <c r="E142" i="8" s="1"/>
  <c r="C142" i="8" s="1"/>
  <c r="B255" i="7"/>
  <c r="E255" i="7" s="1"/>
  <c r="C255" i="7" s="1"/>
  <c r="B252" i="7"/>
  <c r="E252" i="7" s="1"/>
  <c r="C252" i="7" s="1"/>
  <c r="A249" i="7"/>
  <c r="E249" i="7" s="1"/>
  <c r="C249" i="7" s="1"/>
  <c r="A56" i="13"/>
  <c r="A55" i="13"/>
  <c r="E55" i="13" s="1"/>
  <c r="C55" i="13" s="1"/>
  <c r="B48" i="13"/>
  <c r="E48" i="13" s="1"/>
  <c r="C48" i="13" s="1"/>
  <c r="C53" i="13"/>
  <c r="B53" i="13"/>
  <c r="A53" i="13"/>
  <c r="B52" i="13"/>
  <c r="A52" i="13"/>
  <c r="D119" i="10"/>
  <c r="B119" i="10" s="1"/>
  <c r="C122" i="10"/>
  <c r="B122" i="10"/>
  <c r="A122" i="10"/>
  <c r="D121" i="10"/>
  <c r="A121" i="10" s="1"/>
  <c r="C120" i="10"/>
  <c r="B120" i="10"/>
  <c r="A120" i="10"/>
  <c r="C199" i="9"/>
  <c r="B199" i="9"/>
  <c r="A199" i="9"/>
  <c r="D198" i="9"/>
  <c r="B198" i="9" s="1"/>
  <c r="C181" i="11"/>
  <c r="B181" i="11"/>
  <c r="A181" i="11"/>
  <c r="C180" i="11"/>
  <c r="B180" i="11"/>
  <c r="A180" i="11"/>
  <c r="A58" i="13" l="1"/>
  <c r="E58" i="13" s="1"/>
  <c r="C58" i="13" s="1"/>
  <c r="A119" i="10"/>
  <c r="E119" i="10" s="1"/>
  <c r="C119" i="10" s="1"/>
  <c r="B121" i="10"/>
  <c r="E121" i="10" s="1"/>
  <c r="C121" i="10" s="1"/>
  <c r="A198" i="9"/>
  <c r="E198" i="9" s="1"/>
  <c r="C198" i="9" s="1"/>
  <c r="C49" i="13"/>
  <c r="A49" i="13"/>
  <c r="B49" i="13"/>
  <c r="D42" i="13"/>
  <c r="C47" i="13"/>
  <c r="B47" i="13"/>
  <c r="A47" i="13"/>
  <c r="D46" i="13"/>
  <c r="A46" i="13" s="1"/>
  <c r="D95" i="12"/>
  <c r="B95" i="12" s="1"/>
  <c r="B96" i="12"/>
  <c r="A96" i="12"/>
  <c r="C178" i="11"/>
  <c r="B178" i="11"/>
  <c r="A178" i="11"/>
  <c r="C177" i="11"/>
  <c r="B177" i="11"/>
  <c r="A177" i="11"/>
  <c r="D176" i="11"/>
  <c r="B176" i="11" l="1"/>
  <c r="D179" i="11"/>
  <c r="B46" i="13"/>
  <c r="E46" i="13" s="1"/>
  <c r="C46" i="13" s="1"/>
  <c r="A95" i="12"/>
  <c r="E95" i="12" s="1"/>
  <c r="C95" i="12" s="1"/>
  <c r="A176" i="11"/>
  <c r="D44" i="13"/>
  <c r="B44" i="13" s="1"/>
  <c r="B42" i="13"/>
  <c r="C45" i="13"/>
  <c r="B45" i="13"/>
  <c r="A45" i="13"/>
  <c r="C43" i="13"/>
  <c r="B43" i="13"/>
  <c r="A43" i="13"/>
  <c r="B88" i="12"/>
  <c r="A88" i="12"/>
  <c r="B94" i="12"/>
  <c r="A94" i="12"/>
  <c r="B93" i="12"/>
  <c r="A93" i="12"/>
  <c r="D92" i="12"/>
  <c r="B92" i="12" s="1"/>
  <c r="B91" i="12"/>
  <c r="A91" i="12"/>
  <c r="D90" i="12"/>
  <c r="B90" i="12" s="1"/>
  <c r="B89" i="12"/>
  <c r="A89" i="12"/>
  <c r="D87" i="12"/>
  <c r="B87" i="12" s="1"/>
  <c r="C175" i="11"/>
  <c r="B175" i="11"/>
  <c r="A175" i="11"/>
  <c r="H174" i="11"/>
  <c r="H175" i="11" s="1"/>
  <c r="H176" i="11" s="1"/>
  <c r="H177" i="11" s="1"/>
  <c r="H178" i="11" s="1"/>
  <c r="H179" i="11" s="1"/>
  <c r="H180" i="11" s="1"/>
  <c r="H181" i="11" s="1"/>
  <c r="H182" i="11" s="1"/>
  <c r="H183" i="11" s="1"/>
  <c r="H184" i="11" s="1"/>
  <c r="H185" i="11" s="1"/>
  <c r="H186" i="11" s="1"/>
  <c r="H187" i="11" s="1"/>
  <c r="H188" i="11" s="1"/>
  <c r="H189" i="11" s="1"/>
  <c r="H190" i="11" s="1"/>
  <c r="D174" i="11"/>
  <c r="B174" i="11" s="1"/>
  <c r="C118" i="10"/>
  <c r="B118" i="10"/>
  <c r="A118" i="10"/>
  <c r="D117" i="10"/>
  <c r="B117" i="10" s="1"/>
  <c r="C248" i="7"/>
  <c r="B248" i="7"/>
  <c r="A248" i="7"/>
  <c r="C247" i="7"/>
  <c r="B247" i="7"/>
  <c r="A247" i="7"/>
  <c r="D246" i="7"/>
  <c r="B246" i="7" s="1"/>
  <c r="C73" i="6"/>
  <c r="B73" i="6"/>
  <c r="A73" i="6"/>
  <c r="C71" i="6"/>
  <c r="B71" i="6"/>
  <c r="A71" i="6"/>
  <c r="C69" i="6"/>
  <c r="B69" i="6"/>
  <c r="A69" i="6"/>
  <c r="C138" i="8"/>
  <c r="B138" i="8"/>
  <c r="A138" i="8"/>
  <c r="D137" i="8"/>
  <c r="A137" i="8" s="1"/>
  <c r="C136" i="8"/>
  <c r="B136" i="8"/>
  <c r="A136" i="8"/>
  <c r="C135" i="8"/>
  <c r="B135" i="8"/>
  <c r="A135" i="8"/>
  <c r="D134" i="8"/>
  <c r="B134" i="8" s="1"/>
  <c r="C197" i="9"/>
  <c r="B197" i="9"/>
  <c r="A197" i="9"/>
  <c r="D196" i="9"/>
  <c r="A196" i="9" s="1"/>
  <c r="E176" i="11" l="1"/>
  <c r="C176" i="11" s="1"/>
  <c r="B179" i="11"/>
  <c r="D182" i="11"/>
  <c r="A179" i="11"/>
  <c r="A117" i="10"/>
  <c r="E117" i="10" s="1"/>
  <c r="C117" i="10" s="1"/>
  <c r="A42" i="13"/>
  <c r="E42" i="13" s="1"/>
  <c r="C42" i="13" s="1"/>
  <c r="A44" i="13"/>
  <c r="E44" i="13" s="1"/>
  <c r="C44" i="13" s="1"/>
  <c r="A92" i="12"/>
  <c r="E92" i="12" s="1"/>
  <c r="C92" i="12" s="1"/>
  <c r="A90" i="12"/>
  <c r="E90" i="12" s="1"/>
  <c r="C90" i="12" s="1"/>
  <c r="A87" i="12"/>
  <c r="E87" i="12" s="1"/>
  <c r="C87" i="12" s="1"/>
  <c r="A174" i="11"/>
  <c r="E174" i="11" s="1"/>
  <c r="C174" i="11" s="1"/>
  <c r="A246" i="7"/>
  <c r="E246" i="7" s="1"/>
  <c r="C246" i="7" s="1"/>
  <c r="B137" i="8"/>
  <c r="E137" i="8" s="1"/>
  <c r="C137" i="8" s="1"/>
  <c r="A134" i="8"/>
  <c r="E134" i="8" s="1"/>
  <c r="C134" i="8" s="1"/>
  <c r="B196" i="9"/>
  <c r="E196" i="9" s="1"/>
  <c r="C196" i="9" s="1"/>
  <c r="C116" i="10"/>
  <c r="B116" i="10"/>
  <c r="A116" i="10"/>
  <c r="D115" i="10"/>
  <c r="B115" i="10" s="1"/>
  <c r="C195" i="9"/>
  <c r="B195" i="9"/>
  <c r="A195" i="9"/>
  <c r="D194" i="9"/>
  <c r="B194" i="9" s="1"/>
  <c r="C173" i="11"/>
  <c r="B173" i="11"/>
  <c r="A173" i="11"/>
  <c r="G27" i="11"/>
  <c r="C245" i="7"/>
  <c r="B245" i="7"/>
  <c r="A245" i="7"/>
  <c r="C244" i="7"/>
  <c r="B244" i="7"/>
  <c r="A244" i="7"/>
  <c r="D243" i="7"/>
  <c r="B243" i="7" s="1"/>
  <c r="D3" i="14"/>
  <c r="D4" i="14" s="1"/>
  <c r="D5" i="14" s="1"/>
  <c r="D6" i="14" s="1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C41" i="13"/>
  <c r="B41" i="13"/>
  <c r="A41" i="13"/>
  <c r="D40" i="13"/>
  <c r="B40" i="13" s="1"/>
  <c r="C39" i="13"/>
  <c r="B39" i="13"/>
  <c r="A39" i="13"/>
  <c r="C38" i="13"/>
  <c r="B38" i="13"/>
  <c r="A38" i="13"/>
  <c r="D37" i="13"/>
  <c r="B37" i="13" s="1"/>
  <c r="C36" i="13"/>
  <c r="B36" i="13"/>
  <c r="A36" i="13"/>
  <c r="D35" i="13"/>
  <c r="B35" i="13" s="1"/>
  <c r="C34" i="13"/>
  <c r="B34" i="13"/>
  <c r="A34" i="13"/>
  <c r="D33" i="13"/>
  <c r="A33" i="13" s="1"/>
  <c r="C32" i="13"/>
  <c r="B32" i="13"/>
  <c r="A32" i="13"/>
  <c r="D31" i="13"/>
  <c r="C30" i="13"/>
  <c r="B30" i="13"/>
  <c r="A30" i="13"/>
  <c r="B29" i="13"/>
  <c r="A29" i="13"/>
  <c r="C28" i="13"/>
  <c r="B28" i="13"/>
  <c r="A28" i="13"/>
  <c r="D27" i="13"/>
  <c r="C26" i="13"/>
  <c r="B26" i="13"/>
  <c r="A26" i="13"/>
  <c r="D25" i="13"/>
  <c r="A25" i="13" s="1"/>
  <c r="C24" i="13"/>
  <c r="B24" i="13"/>
  <c r="A24" i="13"/>
  <c r="D23" i="13"/>
  <c r="A23" i="13" s="1"/>
  <c r="C22" i="13"/>
  <c r="B22" i="13"/>
  <c r="A22" i="13"/>
  <c r="D21" i="13"/>
  <c r="B21" i="13" s="1"/>
  <c r="C20" i="13"/>
  <c r="B20" i="13"/>
  <c r="A20" i="13"/>
  <c r="D19" i="13"/>
  <c r="A19" i="13" s="1"/>
  <c r="C18" i="13"/>
  <c r="B18" i="13"/>
  <c r="A18" i="13"/>
  <c r="D17" i="13"/>
  <c r="B17" i="13" s="1"/>
  <c r="C16" i="13"/>
  <c r="B16" i="13"/>
  <c r="A16" i="13"/>
  <c r="D15" i="13"/>
  <c r="C14" i="13"/>
  <c r="B14" i="13"/>
  <c r="A14" i="13"/>
  <c r="C13" i="13"/>
  <c r="B13" i="13"/>
  <c r="A13" i="13"/>
  <c r="C12" i="13"/>
  <c r="B12" i="13"/>
  <c r="A12" i="13"/>
  <c r="C11" i="13"/>
  <c r="B11" i="13"/>
  <c r="A11" i="13"/>
  <c r="D10" i="13"/>
  <c r="A10" i="13" s="1"/>
  <c r="C9" i="13"/>
  <c r="B9" i="13"/>
  <c r="A9" i="13"/>
  <c r="C8" i="13"/>
  <c r="B8" i="13"/>
  <c r="A8" i="13"/>
  <c r="H7" i="13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B7" i="13"/>
  <c r="A7" i="13"/>
  <c r="B86" i="12"/>
  <c r="A86" i="12"/>
  <c r="B85" i="12"/>
  <c r="A85" i="12"/>
  <c r="B84" i="12"/>
  <c r="A84" i="12"/>
  <c r="D83" i="12"/>
  <c r="B82" i="12"/>
  <c r="A82" i="12"/>
  <c r="D81" i="12"/>
  <c r="A81" i="12" s="1"/>
  <c r="B80" i="12"/>
  <c r="A80" i="12"/>
  <c r="D79" i="12"/>
  <c r="B79" i="12" s="1"/>
  <c r="B78" i="12"/>
  <c r="A78" i="12"/>
  <c r="D77" i="12"/>
  <c r="B76" i="12"/>
  <c r="A76" i="12"/>
  <c r="B75" i="12"/>
  <c r="A75" i="12"/>
  <c r="D74" i="12"/>
  <c r="A74" i="12" s="1"/>
  <c r="B73" i="12"/>
  <c r="A73" i="12"/>
  <c r="D72" i="12"/>
  <c r="B72" i="12" s="1"/>
  <c r="B71" i="12"/>
  <c r="A71" i="12"/>
  <c r="B70" i="12"/>
  <c r="A70" i="12"/>
  <c r="D69" i="12"/>
  <c r="B68" i="12"/>
  <c r="A68" i="12"/>
  <c r="D67" i="12"/>
  <c r="B66" i="12"/>
  <c r="A66" i="12"/>
  <c r="D65" i="12"/>
  <c r="A65" i="12" s="1"/>
  <c r="B64" i="12"/>
  <c r="A64" i="12"/>
  <c r="D63" i="12"/>
  <c r="B62" i="12"/>
  <c r="A62" i="12"/>
  <c r="B61" i="12"/>
  <c r="A61" i="12"/>
  <c r="B60" i="12"/>
  <c r="A60" i="12"/>
  <c r="F59" i="12"/>
  <c r="B59" i="12"/>
  <c r="A59" i="12"/>
  <c r="F58" i="12"/>
  <c r="B58" i="12"/>
  <c r="A58" i="12"/>
  <c r="F57" i="12"/>
  <c r="B57" i="12"/>
  <c r="A57" i="12"/>
  <c r="F56" i="12"/>
  <c r="B56" i="12"/>
  <c r="A56" i="12"/>
  <c r="F55" i="12"/>
  <c r="B55" i="12"/>
  <c r="A55" i="12"/>
  <c r="B54" i="12"/>
  <c r="A54" i="12"/>
  <c r="D53" i="12"/>
  <c r="B53" i="12" s="1"/>
  <c r="B52" i="12"/>
  <c r="A52" i="12"/>
  <c r="D51" i="12"/>
  <c r="B51" i="12" s="1"/>
  <c r="C50" i="12"/>
  <c r="B50" i="12"/>
  <c r="A50" i="12"/>
  <c r="D49" i="12"/>
  <c r="C48" i="12"/>
  <c r="B48" i="12"/>
  <c r="A48" i="12"/>
  <c r="D47" i="12"/>
  <c r="C46" i="12"/>
  <c r="B46" i="12"/>
  <c r="A46" i="12"/>
  <c r="D45" i="12"/>
  <c r="A45" i="12" s="1"/>
  <c r="C44" i="12"/>
  <c r="B44" i="12"/>
  <c r="A44" i="12"/>
  <c r="D43" i="12"/>
  <c r="A43" i="12" s="1"/>
  <c r="C42" i="12"/>
  <c r="B42" i="12"/>
  <c r="A42" i="12"/>
  <c r="C41" i="12"/>
  <c r="B41" i="12"/>
  <c r="A41" i="12"/>
  <c r="D40" i="12"/>
  <c r="C39" i="12"/>
  <c r="B39" i="12"/>
  <c r="A39" i="12"/>
  <c r="C38" i="12"/>
  <c r="B38" i="12"/>
  <c r="A38" i="12"/>
  <c r="B37" i="12"/>
  <c r="A37" i="12"/>
  <c r="C36" i="12"/>
  <c r="B36" i="12"/>
  <c r="A36" i="12"/>
  <c r="H35" i="12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H53" i="12" s="1"/>
  <c r="H54" i="12" s="1"/>
  <c r="C35" i="12"/>
  <c r="B35" i="12"/>
  <c r="A35" i="12"/>
  <c r="D30" i="12"/>
  <c r="A30" i="12" s="1"/>
  <c r="C29" i="12"/>
  <c r="B29" i="12"/>
  <c r="A29" i="12"/>
  <c r="C28" i="12"/>
  <c r="B28" i="12"/>
  <c r="A28" i="12"/>
  <c r="C27" i="12"/>
  <c r="B27" i="12"/>
  <c r="A27" i="12"/>
  <c r="D26" i="12"/>
  <c r="C25" i="12"/>
  <c r="B25" i="12"/>
  <c r="A25" i="12"/>
  <c r="D24" i="12"/>
  <c r="B24" i="12" s="1"/>
  <c r="C23" i="12"/>
  <c r="B23" i="12"/>
  <c r="A23" i="12"/>
  <c r="D22" i="12"/>
  <c r="B22" i="12" s="1"/>
  <c r="C21" i="12"/>
  <c r="B21" i="12"/>
  <c r="A21" i="12"/>
  <c r="D20" i="12"/>
  <c r="C19" i="12"/>
  <c r="B19" i="12"/>
  <c r="A19" i="12"/>
  <c r="D18" i="12"/>
  <c r="B18" i="12" s="1"/>
  <c r="C17" i="12"/>
  <c r="B17" i="12"/>
  <c r="A17" i="12"/>
  <c r="D16" i="12"/>
  <c r="C15" i="12"/>
  <c r="B15" i="12"/>
  <c r="A15" i="12"/>
  <c r="D14" i="12"/>
  <c r="A14" i="12" s="1"/>
  <c r="C13" i="12"/>
  <c r="B13" i="12"/>
  <c r="A13" i="12"/>
  <c r="C12" i="12"/>
  <c r="B12" i="12"/>
  <c r="A12" i="12"/>
  <c r="C11" i="12"/>
  <c r="B11" i="12"/>
  <c r="A11" i="12"/>
  <c r="C10" i="12"/>
  <c r="B10" i="12"/>
  <c r="A10" i="12"/>
  <c r="C9" i="12"/>
  <c r="B9" i="12"/>
  <c r="A9" i="12"/>
  <c r="C8" i="12"/>
  <c r="B8" i="12"/>
  <c r="A8" i="12"/>
  <c r="H7" i="12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B7" i="12"/>
  <c r="A7" i="12"/>
  <c r="C6" i="12"/>
  <c r="C171" i="11"/>
  <c r="B171" i="11"/>
  <c r="A171" i="11"/>
  <c r="C170" i="11"/>
  <c r="B170" i="11"/>
  <c r="A170" i="11"/>
  <c r="D169" i="11"/>
  <c r="A169" i="11" s="1"/>
  <c r="C168" i="11"/>
  <c r="B168" i="11"/>
  <c r="A168" i="11"/>
  <c r="D167" i="11"/>
  <c r="C166" i="11"/>
  <c r="B166" i="11"/>
  <c r="A166" i="11"/>
  <c r="D165" i="11"/>
  <c r="A165" i="11" s="1"/>
  <c r="C164" i="11"/>
  <c r="B164" i="11"/>
  <c r="A164" i="11"/>
  <c r="B163" i="11"/>
  <c r="A163" i="11"/>
  <c r="C162" i="11"/>
  <c r="B162" i="11"/>
  <c r="A162" i="11"/>
  <c r="C161" i="11"/>
  <c r="B161" i="11"/>
  <c r="A161" i="11"/>
  <c r="B160" i="11"/>
  <c r="A160" i="11"/>
  <c r="C159" i="11"/>
  <c r="B159" i="11"/>
  <c r="A159" i="11"/>
  <c r="C158" i="11"/>
  <c r="B158" i="11"/>
  <c r="A158" i="11"/>
  <c r="E157" i="11"/>
  <c r="C157" i="11" s="1"/>
  <c r="D157" i="11"/>
  <c r="B156" i="11"/>
  <c r="A156" i="11"/>
  <c r="C155" i="11"/>
  <c r="B155" i="11"/>
  <c r="A155" i="11"/>
  <c r="B154" i="11"/>
  <c r="A154" i="11"/>
  <c r="C153" i="11"/>
  <c r="B153" i="11"/>
  <c r="A153" i="11"/>
  <c r="C152" i="11"/>
  <c r="B152" i="11"/>
  <c r="A152" i="11"/>
  <c r="E151" i="11"/>
  <c r="C151" i="11" s="1"/>
  <c r="D151" i="11"/>
  <c r="B151" i="11" s="1"/>
  <c r="B150" i="11"/>
  <c r="A150" i="11"/>
  <c r="C149" i="11"/>
  <c r="B149" i="11"/>
  <c r="A149" i="11"/>
  <c r="E148" i="11"/>
  <c r="C148" i="11" s="1"/>
  <c r="D148" i="11"/>
  <c r="B147" i="11"/>
  <c r="A147" i="11"/>
  <c r="C146" i="11"/>
  <c r="B146" i="11"/>
  <c r="A146" i="11"/>
  <c r="E145" i="11"/>
  <c r="C145" i="11" s="1"/>
  <c r="D145" i="11"/>
  <c r="A145" i="11" s="1"/>
  <c r="B144" i="11"/>
  <c r="A144" i="11"/>
  <c r="C143" i="11"/>
  <c r="B143" i="11"/>
  <c r="A143" i="11"/>
  <c r="E142" i="11"/>
  <c r="C142" i="11" s="1"/>
  <c r="D141" i="11"/>
  <c r="D142" i="11" s="1"/>
  <c r="C140" i="11"/>
  <c r="B140" i="11"/>
  <c r="A140" i="11"/>
  <c r="E139" i="11"/>
  <c r="C139" i="11" s="1"/>
  <c r="D138" i="11"/>
  <c r="A138" i="11" s="1"/>
  <c r="C137" i="11"/>
  <c r="B137" i="11"/>
  <c r="A137" i="11"/>
  <c r="E136" i="11"/>
  <c r="C136" i="11" s="1"/>
  <c r="D135" i="11"/>
  <c r="C134" i="11"/>
  <c r="B134" i="11"/>
  <c r="A134" i="11"/>
  <c r="E133" i="11"/>
  <c r="C133" i="11" s="1"/>
  <c r="D132" i="11"/>
  <c r="C131" i="11"/>
  <c r="B131" i="11"/>
  <c r="A131" i="11"/>
  <c r="E130" i="11"/>
  <c r="C130" i="11" s="1"/>
  <c r="G129" i="11"/>
  <c r="G130" i="11" s="1"/>
  <c r="D129" i="11"/>
  <c r="B129" i="11" s="1"/>
  <c r="C128" i="11"/>
  <c r="B128" i="11"/>
  <c r="A128" i="11"/>
  <c r="E127" i="11"/>
  <c r="C127" i="11" s="1"/>
  <c r="G126" i="11"/>
  <c r="G127" i="11" s="1"/>
  <c r="D126" i="11"/>
  <c r="B126" i="11" s="1"/>
  <c r="C125" i="11"/>
  <c r="B125" i="11"/>
  <c r="A125" i="11"/>
  <c r="E124" i="11"/>
  <c r="C124" i="11" s="1"/>
  <c r="G123" i="11"/>
  <c r="G124" i="11" s="1"/>
  <c r="D123" i="11"/>
  <c r="B123" i="11" s="1"/>
  <c r="E122" i="11"/>
  <c r="C122" i="11" s="1"/>
  <c r="D122" i="11"/>
  <c r="A122" i="11" s="1"/>
  <c r="G121" i="11"/>
  <c r="G122" i="11" s="1"/>
  <c r="B121" i="11"/>
  <c r="A121" i="11"/>
  <c r="C120" i="11"/>
  <c r="B120" i="11"/>
  <c r="A120" i="11"/>
  <c r="C119" i="11"/>
  <c r="B119" i="11"/>
  <c r="A119" i="11"/>
  <c r="C118" i="11"/>
  <c r="B118" i="11"/>
  <c r="A118" i="11"/>
  <c r="E115" i="11"/>
  <c r="C115" i="11" s="1"/>
  <c r="G114" i="11"/>
  <c r="G115" i="11" s="1"/>
  <c r="D114" i="11"/>
  <c r="D115" i="11" s="1"/>
  <c r="B113" i="11"/>
  <c r="C113" i="11"/>
  <c r="C112" i="11"/>
  <c r="B112" i="11"/>
  <c r="A112" i="11"/>
  <c r="E111" i="11"/>
  <c r="C111" i="11" s="1"/>
  <c r="G110" i="11"/>
  <c r="G111" i="11" s="1"/>
  <c r="D110" i="11"/>
  <c r="B110" i="11" s="1"/>
  <c r="C109" i="11"/>
  <c r="B109" i="11"/>
  <c r="A109" i="11"/>
  <c r="A108" i="11"/>
  <c r="C108" i="11"/>
  <c r="E107" i="11"/>
  <c r="C107" i="11" s="1"/>
  <c r="G106" i="11"/>
  <c r="G107" i="11" s="1"/>
  <c r="C105" i="11"/>
  <c r="B105" i="11"/>
  <c r="A105" i="11"/>
  <c r="E104" i="11"/>
  <c r="C104" i="11" s="1"/>
  <c r="G103" i="11"/>
  <c r="G104" i="11" s="1"/>
  <c r="D103" i="11"/>
  <c r="D104" i="11" s="1"/>
  <c r="B104" i="11" s="1"/>
  <c r="C102" i="11"/>
  <c r="B102" i="11"/>
  <c r="A102" i="11"/>
  <c r="C101" i="11"/>
  <c r="B101" i="11"/>
  <c r="A101" i="11"/>
  <c r="E100" i="11"/>
  <c r="C100" i="11" s="1"/>
  <c r="G99" i="11"/>
  <c r="G100" i="11" s="1"/>
  <c r="C98" i="11"/>
  <c r="B98" i="11"/>
  <c r="A98" i="11"/>
  <c r="E97" i="11"/>
  <c r="C97" i="11" s="1"/>
  <c r="G96" i="11"/>
  <c r="G97" i="11" s="1"/>
  <c r="C95" i="11"/>
  <c r="B95" i="11"/>
  <c r="A95" i="11"/>
  <c r="E94" i="11"/>
  <c r="C94" i="11" s="1"/>
  <c r="G93" i="11"/>
  <c r="G94" i="11" s="1"/>
  <c r="C92" i="11"/>
  <c r="B92" i="11"/>
  <c r="A92" i="11"/>
  <c r="E91" i="11"/>
  <c r="C91" i="11" s="1"/>
  <c r="G90" i="11"/>
  <c r="G91" i="11" s="1"/>
  <c r="C89" i="11"/>
  <c r="B89" i="11"/>
  <c r="A89" i="11"/>
  <c r="E88" i="11"/>
  <c r="C88" i="11" s="1"/>
  <c r="G87" i="11"/>
  <c r="G88" i="11" s="1"/>
  <c r="C86" i="11"/>
  <c r="B86" i="11"/>
  <c r="A86" i="11"/>
  <c r="C85" i="11"/>
  <c r="B85" i="11"/>
  <c r="A85" i="11"/>
  <c r="E84" i="11"/>
  <c r="C84" i="11" s="1"/>
  <c r="G83" i="11"/>
  <c r="G84" i="11" s="1"/>
  <c r="C82" i="11"/>
  <c r="B82" i="11"/>
  <c r="A82" i="11"/>
  <c r="C81" i="11"/>
  <c r="B81" i="11"/>
  <c r="A81" i="11"/>
  <c r="E80" i="11"/>
  <c r="C80" i="11" s="1"/>
  <c r="G79" i="11"/>
  <c r="G80" i="11" s="1"/>
  <c r="C78" i="11"/>
  <c r="B78" i="11"/>
  <c r="A78" i="11"/>
  <c r="C77" i="11"/>
  <c r="B77" i="11"/>
  <c r="A77" i="11"/>
  <c r="E76" i="11"/>
  <c r="C76" i="11" s="1"/>
  <c r="G75" i="11"/>
  <c r="G76" i="11" s="1"/>
  <c r="C74" i="11"/>
  <c r="B74" i="11"/>
  <c r="A74" i="11"/>
  <c r="E73" i="11"/>
  <c r="C73" i="11" s="1"/>
  <c r="G72" i="11"/>
  <c r="G73" i="11" s="1"/>
  <c r="C71" i="11"/>
  <c r="B71" i="11"/>
  <c r="A71" i="11"/>
  <c r="C70" i="11"/>
  <c r="B70" i="11"/>
  <c r="A70" i="11"/>
  <c r="E69" i="11"/>
  <c r="C69" i="11" s="1"/>
  <c r="G68" i="11"/>
  <c r="G69" i="11" s="1"/>
  <c r="D68" i="11"/>
  <c r="B68" i="11" s="1"/>
  <c r="C67" i="11"/>
  <c r="B67" i="11"/>
  <c r="A67" i="11"/>
  <c r="C66" i="11"/>
  <c r="B66" i="11"/>
  <c r="A66" i="11"/>
  <c r="E65" i="11"/>
  <c r="C65" i="11" s="1"/>
  <c r="G64" i="11"/>
  <c r="G65" i="11" s="1"/>
  <c r="D64" i="11"/>
  <c r="D65" i="11" s="1"/>
  <c r="A65" i="11" s="1"/>
  <c r="C63" i="11"/>
  <c r="B63" i="11"/>
  <c r="A63" i="11"/>
  <c r="C62" i="11"/>
  <c r="B62" i="11"/>
  <c r="A62" i="11"/>
  <c r="C61" i="11"/>
  <c r="B61" i="11"/>
  <c r="A61" i="11"/>
  <c r="E60" i="11"/>
  <c r="C60" i="11" s="1"/>
  <c r="G59" i="11"/>
  <c r="G60" i="11" s="1"/>
  <c r="D59" i="11"/>
  <c r="C58" i="11"/>
  <c r="B58" i="11"/>
  <c r="A58" i="11"/>
  <c r="C57" i="11"/>
  <c r="B57" i="11"/>
  <c r="A57" i="11"/>
  <c r="C56" i="11"/>
  <c r="B56" i="11"/>
  <c r="A56" i="11"/>
  <c r="E55" i="11"/>
  <c r="C55" i="11" s="1"/>
  <c r="G54" i="11"/>
  <c r="G55" i="11" s="1"/>
  <c r="D54" i="11"/>
  <c r="D55" i="11" s="1"/>
  <c r="B55" i="11" s="1"/>
  <c r="C53" i="11"/>
  <c r="B53" i="11"/>
  <c r="A53" i="11"/>
  <c r="C52" i="11"/>
  <c r="B52" i="11"/>
  <c r="A52" i="11"/>
  <c r="C51" i="11"/>
  <c r="B51" i="11"/>
  <c r="A51" i="11"/>
  <c r="C50" i="11"/>
  <c r="B50" i="11"/>
  <c r="A50" i="11"/>
  <c r="E49" i="11"/>
  <c r="C49" i="11" s="1"/>
  <c r="G48" i="11"/>
  <c r="G49" i="11" s="1"/>
  <c r="D48" i="11"/>
  <c r="C47" i="11"/>
  <c r="B47" i="11"/>
  <c r="A47" i="11"/>
  <c r="C46" i="11"/>
  <c r="B46" i="11"/>
  <c r="A46" i="11"/>
  <c r="C45" i="11"/>
  <c r="B45" i="11"/>
  <c r="A45" i="11"/>
  <c r="E44" i="11"/>
  <c r="C44" i="11" s="1"/>
  <c r="G43" i="11"/>
  <c r="G44" i="11" s="1"/>
  <c r="D43" i="11"/>
  <c r="A43" i="11" s="1"/>
  <c r="C42" i="11"/>
  <c r="B42" i="11"/>
  <c r="A42" i="11"/>
  <c r="C41" i="11"/>
  <c r="B41" i="11"/>
  <c r="A41" i="11"/>
  <c r="C40" i="11"/>
  <c r="B40" i="11"/>
  <c r="A40" i="11"/>
  <c r="E39" i="11"/>
  <c r="C39" i="11" s="1"/>
  <c r="G38" i="11"/>
  <c r="G39" i="11" s="1"/>
  <c r="D38" i="11"/>
  <c r="C37" i="11"/>
  <c r="B37" i="11"/>
  <c r="A37" i="11"/>
  <c r="C36" i="11"/>
  <c r="B36" i="11"/>
  <c r="A36" i="11"/>
  <c r="C35" i="11"/>
  <c r="B35" i="11"/>
  <c r="A35" i="11"/>
  <c r="E34" i="11"/>
  <c r="C34" i="11" s="1"/>
  <c r="G33" i="11"/>
  <c r="G34" i="11" s="1"/>
  <c r="D33" i="11"/>
  <c r="D34" i="11" s="1"/>
  <c r="B34" i="11" s="1"/>
  <c r="C32" i="11"/>
  <c r="B32" i="11"/>
  <c r="A32" i="11"/>
  <c r="C31" i="11"/>
  <c r="B31" i="11"/>
  <c r="A31" i="11"/>
  <c r="C30" i="11"/>
  <c r="B30" i="11"/>
  <c r="A30" i="11"/>
  <c r="E29" i="11"/>
  <c r="C29" i="11" s="1"/>
  <c r="G28" i="11"/>
  <c r="G29" i="11" s="1"/>
  <c r="D28" i="11"/>
  <c r="D29" i="11" s="1"/>
  <c r="B29" i="11" s="1"/>
  <c r="C27" i="11"/>
  <c r="B27" i="11"/>
  <c r="A27" i="11"/>
  <c r="C26" i="11"/>
  <c r="B26" i="11"/>
  <c r="A26" i="11"/>
  <c r="E25" i="11"/>
  <c r="C25" i="11" s="1"/>
  <c r="G24" i="11"/>
  <c r="G25" i="11" s="1"/>
  <c r="D24" i="11"/>
  <c r="A24" i="11" s="1"/>
  <c r="C23" i="11"/>
  <c r="B23" i="11"/>
  <c r="A23" i="11"/>
  <c r="C22" i="11"/>
  <c r="B22" i="11"/>
  <c r="A22" i="11"/>
  <c r="C21" i="11"/>
  <c r="B21" i="11"/>
  <c r="A21" i="11"/>
  <c r="E20" i="11"/>
  <c r="C20" i="11" s="1"/>
  <c r="G19" i="11"/>
  <c r="G20" i="11" s="1"/>
  <c r="C18" i="11"/>
  <c r="B18" i="11"/>
  <c r="A18" i="11"/>
  <c r="E17" i="11"/>
  <c r="C17" i="11" s="1"/>
  <c r="G16" i="11"/>
  <c r="G17" i="11" s="1"/>
  <c r="D16" i="11"/>
  <c r="A16" i="11" s="1"/>
  <c r="C15" i="11"/>
  <c r="B15" i="11"/>
  <c r="A15" i="11"/>
  <c r="C14" i="11"/>
  <c r="B14" i="11"/>
  <c r="A14" i="11"/>
  <c r="C13" i="11"/>
  <c r="B13" i="11"/>
  <c r="A13" i="11"/>
  <c r="C12" i="11"/>
  <c r="B12" i="11"/>
  <c r="A12" i="11"/>
  <c r="E11" i="11"/>
  <c r="C11" i="11" s="1"/>
  <c r="D11" i="11"/>
  <c r="G10" i="11"/>
  <c r="B10" i="11"/>
  <c r="A10" i="11"/>
  <c r="C9" i="11"/>
  <c r="B9" i="11"/>
  <c r="A9" i="11"/>
  <c r="C8" i="11"/>
  <c r="B8" i="11"/>
  <c r="A8" i="11"/>
  <c r="H7" i="11"/>
  <c r="H8" i="11" s="1"/>
  <c r="H9" i="11" s="1"/>
  <c r="B7" i="11"/>
  <c r="A7" i="11"/>
  <c r="C114" i="10"/>
  <c r="B114" i="10"/>
  <c r="A114" i="10"/>
  <c r="D113" i="10"/>
  <c r="C112" i="10"/>
  <c r="B112" i="10"/>
  <c r="A112" i="10"/>
  <c r="D111" i="10"/>
  <c r="A111" i="10" s="1"/>
  <c r="C110" i="10"/>
  <c r="B110" i="10"/>
  <c r="A110" i="10"/>
  <c r="D109" i="10"/>
  <c r="B109" i="10" s="1"/>
  <c r="C108" i="10"/>
  <c r="B108" i="10"/>
  <c r="A108" i="10"/>
  <c r="D107" i="10"/>
  <c r="C106" i="10"/>
  <c r="B106" i="10"/>
  <c r="A106" i="10"/>
  <c r="D105" i="10"/>
  <c r="A105" i="10" s="1"/>
  <c r="C104" i="10"/>
  <c r="B104" i="10"/>
  <c r="A104" i="10"/>
  <c r="B103" i="10"/>
  <c r="A103" i="10"/>
  <c r="C102" i="10"/>
  <c r="B102" i="10"/>
  <c r="A102" i="10"/>
  <c r="D101" i="10"/>
  <c r="A101" i="10" s="1"/>
  <c r="C100" i="10"/>
  <c r="B100" i="10"/>
  <c r="A100" i="10"/>
  <c r="D99" i="10"/>
  <c r="C98" i="10"/>
  <c r="B98" i="10"/>
  <c r="A98" i="10"/>
  <c r="H97" i="10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D97" i="10"/>
  <c r="C96" i="10"/>
  <c r="B96" i="10"/>
  <c r="A96" i="10"/>
  <c r="H95" i="10"/>
  <c r="H96" i="10" s="1"/>
  <c r="B95" i="10"/>
  <c r="A95" i="10"/>
  <c r="C94" i="10"/>
  <c r="B94" i="10"/>
  <c r="A94" i="10"/>
  <c r="H93" i="10"/>
  <c r="H94" i="10" s="1"/>
  <c r="C93" i="10"/>
  <c r="B93" i="10"/>
  <c r="A93" i="10"/>
  <c r="C92" i="10"/>
  <c r="B92" i="10"/>
  <c r="A92" i="10"/>
  <c r="C91" i="10"/>
  <c r="B91" i="10"/>
  <c r="A91" i="10"/>
  <c r="H90" i="10"/>
  <c r="B90" i="10"/>
  <c r="A90" i="10"/>
  <c r="C86" i="10"/>
  <c r="B86" i="10"/>
  <c r="A86" i="10"/>
  <c r="D84" i="10"/>
  <c r="D85" i="10" s="1"/>
  <c r="C83" i="10"/>
  <c r="B83" i="10"/>
  <c r="A83" i="10"/>
  <c r="C80" i="10"/>
  <c r="B80" i="10"/>
  <c r="A80" i="10"/>
  <c r="D78" i="10"/>
  <c r="A78" i="10" s="1"/>
  <c r="C77" i="10"/>
  <c r="B77" i="10"/>
  <c r="A77" i="10"/>
  <c r="D75" i="10"/>
  <c r="C74" i="10"/>
  <c r="B74" i="10"/>
  <c r="A74" i="10"/>
  <c r="C71" i="10"/>
  <c r="B71" i="10"/>
  <c r="A71" i="10"/>
  <c r="D69" i="10"/>
  <c r="A69" i="10" s="1"/>
  <c r="C68" i="10"/>
  <c r="B68" i="10"/>
  <c r="A68" i="10"/>
  <c r="D66" i="10"/>
  <c r="B66" i="10" s="1"/>
  <c r="C65" i="10"/>
  <c r="B65" i="10"/>
  <c r="A65" i="10"/>
  <c r="D63" i="10"/>
  <c r="B63" i="10" s="1"/>
  <c r="C62" i="10"/>
  <c r="B62" i="10"/>
  <c r="A62" i="10"/>
  <c r="D60" i="10"/>
  <c r="A60" i="10" s="1"/>
  <c r="C59" i="10"/>
  <c r="B59" i="10"/>
  <c r="A59" i="10"/>
  <c r="D57" i="10"/>
  <c r="A57" i="10" s="1"/>
  <c r="C56" i="10"/>
  <c r="B56" i="10"/>
  <c r="A56" i="10"/>
  <c r="C53" i="10"/>
  <c r="B53" i="10"/>
  <c r="A53" i="10"/>
  <c r="D51" i="10"/>
  <c r="D52" i="10" s="1"/>
  <c r="C50" i="10"/>
  <c r="B50" i="10"/>
  <c r="A50" i="10"/>
  <c r="D48" i="10"/>
  <c r="A48" i="10" s="1"/>
  <c r="C47" i="10"/>
  <c r="B47" i="10"/>
  <c r="A47" i="10"/>
  <c r="D45" i="10"/>
  <c r="A45" i="10" s="1"/>
  <c r="C44" i="10"/>
  <c r="B44" i="10"/>
  <c r="A44" i="10"/>
  <c r="D42" i="10"/>
  <c r="B42" i="10" s="1"/>
  <c r="C41" i="10"/>
  <c r="B41" i="10"/>
  <c r="A41" i="10"/>
  <c r="D39" i="10"/>
  <c r="A39" i="10" s="1"/>
  <c r="C38" i="10"/>
  <c r="B38" i="10"/>
  <c r="A38" i="10"/>
  <c r="D36" i="10"/>
  <c r="D37" i="10" s="1"/>
  <c r="B37" i="10" s="1"/>
  <c r="C35" i="10"/>
  <c r="B35" i="10"/>
  <c r="A35" i="10"/>
  <c r="D33" i="10"/>
  <c r="D34" i="10" s="1"/>
  <c r="C32" i="10"/>
  <c r="B32" i="10"/>
  <c r="A32" i="10"/>
  <c r="D30" i="10"/>
  <c r="A30" i="10" s="1"/>
  <c r="C29" i="10"/>
  <c r="B29" i="10"/>
  <c r="A29" i="10"/>
  <c r="D27" i="10"/>
  <c r="D28" i="10" s="1"/>
  <c r="B28" i="10" s="1"/>
  <c r="C26" i="10"/>
  <c r="B26" i="10"/>
  <c r="A26" i="10"/>
  <c r="C25" i="10"/>
  <c r="B25" i="10"/>
  <c r="A25" i="10"/>
  <c r="D23" i="10"/>
  <c r="D24" i="10" s="1"/>
  <c r="B24" i="10" s="1"/>
  <c r="C22" i="10"/>
  <c r="B22" i="10"/>
  <c r="A22" i="10"/>
  <c r="D20" i="10"/>
  <c r="C19" i="10"/>
  <c r="B19" i="10"/>
  <c r="A19" i="10"/>
  <c r="C18" i="10"/>
  <c r="B18" i="10"/>
  <c r="A18" i="10"/>
  <c r="C17" i="10"/>
  <c r="B17" i="10"/>
  <c r="A17" i="10"/>
  <c r="G15" i="10"/>
  <c r="D15" i="10"/>
  <c r="A15" i="10" s="1"/>
  <c r="C14" i="10"/>
  <c r="B14" i="10"/>
  <c r="A14" i="10"/>
  <c r="G13" i="10"/>
  <c r="D12" i="10"/>
  <c r="B12" i="10" s="1"/>
  <c r="H11" i="10"/>
  <c r="H12" i="10" s="1"/>
  <c r="C11" i="10"/>
  <c r="B11" i="10"/>
  <c r="A11" i="10"/>
  <c r="C10" i="10"/>
  <c r="B10" i="10"/>
  <c r="A10" i="10"/>
  <c r="C9" i="10"/>
  <c r="B9" i="10"/>
  <c r="A9" i="10"/>
  <c r="D8" i="10"/>
  <c r="A8" i="10" s="1"/>
  <c r="G7" i="10"/>
  <c r="H7" i="10" s="1"/>
  <c r="A7" i="10"/>
  <c r="C193" i="9"/>
  <c r="B193" i="9"/>
  <c r="A193" i="9"/>
  <c r="D192" i="9"/>
  <c r="B192" i="9" s="1"/>
  <c r="C191" i="9"/>
  <c r="B191" i="9"/>
  <c r="A191" i="9"/>
  <c r="D190" i="9"/>
  <c r="C189" i="9"/>
  <c r="B189" i="9"/>
  <c r="A189" i="9"/>
  <c r="D188" i="9"/>
  <c r="B188" i="9" s="1"/>
  <c r="C187" i="9"/>
  <c r="B187" i="9"/>
  <c r="A187" i="9"/>
  <c r="D186" i="9"/>
  <c r="A186" i="9" s="1"/>
  <c r="C185" i="9"/>
  <c r="B185" i="9"/>
  <c r="A185" i="9"/>
  <c r="D184" i="9"/>
  <c r="B184" i="9" s="1"/>
  <c r="C183" i="9"/>
  <c r="B183" i="9"/>
  <c r="A183" i="9"/>
  <c r="D182" i="9"/>
  <c r="A182" i="9" s="1"/>
  <c r="C181" i="9"/>
  <c r="B181" i="9"/>
  <c r="A181" i="9"/>
  <c r="D180" i="9"/>
  <c r="B180" i="9" s="1"/>
  <c r="C179" i="9"/>
  <c r="B179" i="9"/>
  <c r="A179" i="9"/>
  <c r="D178" i="9"/>
  <c r="B178" i="9" s="1"/>
  <c r="C177" i="9"/>
  <c r="B177" i="9"/>
  <c r="A177" i="9"/>
  <c r="D176" i="9"/>
  <c r="C175" i="9"/>
  <c r="B175" i="9"/>
  <c r="A175" i="9"/>
  <c r="D174" i="9"/>
  <c r="B174" i="9" s="1"/>
  <c r="C173" i="9"/>
  <c r="B173" i="9"/>
  <c r="A173" i="9"/>
  <c r="C171" i="9"/>
  <c r="B171" i="9"/>
  <c r="A171" i="9"/>
  <c r="D170" i="9"/>
  <c r="D172" i="9" s="1"/>
  <c r="C169" i="9"/>
  <c r="B169" i="9"/>
  <c r="A169" i="9"/>
  <c r="C167" i="9"/>
  <c r="B167" i="9"/>
  <c r="A167" i="9"/>
  <c r="C165" i="9"/>
  <c r="B165" i="9"/>
  <c r="A165" i="9"/>
  <c r="C164" i="9"/>
  <c r="C162" i="9"/>
  <c r="B162" i="9"/>
  <c r="A162" i="9"/>
  <c r="C161" i="9"/>
  <c r="C159" i="9"/>
  <c r="B159" i="9"/>
  <c r="A159" i="9"/>
  <c r="C158" i="9"/>
  <c r="C156" i="9"/>
  <c r="B156" i="9"/>
  <c r="A156" i="9"/>
  <c r="D155" i="9"/>
  <c r="D157" i="9" s="1"/>
  <c r="C155" i="9"/>
  <c r="B154" i="9"/>
  <c r="A154" i="9"/>
  <c r="C153" i="9"/>
  <c r="B153" i="9"/>
  <c r="A153" i="9"/>
  <c r="C152" i="9"/>
  <c r="C150" i="9"/>
  <c r="B150" i="9"/>
  <c r="A150" i="9"/>
  <c r="C149" i="9"/>
  <c r="C147" i="9"/>
  <c r="B147" i="9"/>
  <c r="A147" i="9"/>
  <c r="C146" i="9"/>
  <c r="C144" i="9"/>
  <c r="B144" i="9"/>
  <c r="A144" i="9"/>
  <c r="C143" i="9"/>
  <c r="C141" i="9"/>
  <c r="B141" i="9"/>
  <c r="A141" i="9"/>
  <c r="C140" i="9"/>
  <c r="C138" i="9"/>
  <c r="B138" i="9"/>
  <c r="A138" i="9"/>
  <c r="C137" i="9"/>
  <c r="C135" i="9"/>
  <c r="B135" i="9"/>
  <c r="A135" i="9"/>
  <c r="C134" i="9"/>
  <c r="C132" i="9"/>
  <c r="B132" i="9"/>
  <c r="A132" i="9"/>
  <c r="G131" i="9"/>
  <c r="C131" i="9"/>
  <c r="C129" i="9"/>
  <c r="B129" i="9"/>
  <c r="A129" i="9"/>
  <c r="G128" i="9"/>
  <c r="C128" i="9"/>
  <c r="C126" i="9"/>
  <c r="B126" i="9"/>
  <c r="A126" i="9"/>
  <c r="G125" i="9"/>
  <c r="C125" i="9"/>
  <c r="D124" i="9"/>
  <c r="B124" i="9" s="1"/>
  <c r="C123" i="9"/>
  <c r="B123" i="9"/>
  <c r="A123" i="9"/>
  <c r="C122" i="9"/>
  <c r="B122" i="9"/>
  <c r="A122" i="9"/>
  <c r="G121" i="9"/>
  <c r="C121" i="9"/>
  <c r="B121" i="9"/>
  <c r="A121" i="9"/>
  <c r="H120" i="9"/>
  <c r="C120" i="9"/>
  <c r="B120" i="9"/>
  <c r="A120" i="9"/>
  <c r="C118" i="9"/>
  <c r="C117" i="9"/>
  <c r="C116" i="9"/>
  <c r="B116" i="9"/>
  <c r="A116" i="9"/>
  <c r="C115" i="9"/>
  <c r="G114" i="9"/>
  <c r="G115" i="9" s="1"/>
  <c r="C113" i="9"/>
  <c r="B113" i="9"/>
  <c r="A113" i="9"/>
  <c r="C112" i="9"/>
  <c r="G111" i="9"/>
  <c r="G112" i="9" s="1"/>
  <c r="C110" i="9"/>
  <c r="B110" i="9"/>
  <c r="A110" i="9"/>
  <c r="C109" i="9"/>
  <c r="G108" i="9"/>
  <c r="G109" i="9" s="1"/>
  <c r="D108" i="9"/>
  <c r="A108" i="9" s="1"/>
  <c r="C107" i="9"/>
  <c r="B107" i="9"/>
  <c r="A107" i="9"/>
  <c r="C106" i="9"/>
  <c r="G105" i="9"/>
  <c r="G106" i="9" s="1"/>
  <c r="D105" i="9"/>
  <c r="B105" i="9" s="1"/>
  <c r="C104" i="9"/>
  <c r="B104" i="9"/>
  <c r="A104" i="9"/>
  <c r="C103" i="9"/>
  <c r="B103" i="9"/>
  <c r="A103" i="9"/>
  <c r="C102" i="9"/>
  <c r="G101" i="9"/>
  <c r="G102" i="9" s="1"/>
  <c r="C100" i="9"/>
  <c r="B100" i="9"/>
  <c r="A100" i="9"/>
  <c r="C99" i="9"/>
  <c r="G98" i="9"/>
  <c r="G99" i="9" s="1"/>
  <c r="D98" i="9"/>
  <c r="A98" i="9" s="1"/>
  <c r="C97" i="9"/>
  <c r="B97" i="9"/>
  <c r="A97" i="9"/>
  <c r="C96" i="9"/>
  <c r="G95" i="9"/>
  <c r="G96" i="9" s="1"/>
  <c r="C94" i="9"/>
  <c r="B94" i="9"/>
  <c r="A94" i="9"/>
  <c r="C93" i="9"/>
  <c r="G92" i="9"/>
  <c r="G93" i="9" s="1"/>
  <c r="C91" i="9"/>
  <c r="B91" i="9"/>
  <c r="A91" i="9"/>
  <c r="C90" i="9"/>
  <c r="G89" i="9"/>
  <c r="G90" i="9" s="1"/>
  <c r="D89" i="9"/>
  <c r="B89" i="9" s="1"/>
  <c r="C88" i="9"/>
  <c r="B88" i="9"/>
  <c r="A88" i="9"/>
  <c r="C87" i="9"/>
  <c r="B87" i="9"/>
  <c r="A87" i="9"/>
  <c r="C86" i="9"/>
  <c r="G85" i="9"/>
  <c r="G86" i="9" s="1"/>
  <c r="C84" i="9"/>
  <c r="B84" i="9"/>
  <c r="A84" i="9"/>
  <c r="C83" i="9"/>
  <c r="G82" i="9"/>
  <c r="G83" i="9" s="1"/>
  <c r="C81" i="9"/>
  <c r="B81" i="9"/>
  <c r="A81" i="9"/>
  <c r="C80" i="9"/>
  <c r="G79" i="9"/>
  <c r="G80" i="9" s="1"/>
  <c r="C78" i="9"/>
  <c r="B78" i="9"/>
  <c r="A78" i="9"/>
  <c r="G77" i="9"/>
  <c r="C77" i="9"/>
  <c r="C75" i="9"/>
  <c r="B75" i="9"/>
  <c r="A75" i="9"/>
  <c r="G74" i="9"/>
  <c r="C74" i="9"/>
  <c r="C72" i="9"/>
  <c r="B72" i="9"/>
  <c r="A72" i="9"/>
  <c r="G71" i="9"/>
  <c r="C71" i="9"/>
  <c r="C69" i="9"/>
  <c r="B69" i="9"/>
  <c r="A69" i="9"/>
  <c r="G68" i="9"/>
  <c r="C68" i="9"/>
  <c r="C66" i="9"/>
  <c r="B66" i="9"/>
  <c r="A66" i="9"/>
  <c r="G65" i="9"/>
  <c r="C65" i="9"/>
  <c r="C63" i="9"/>
  <c r="B63" i="9"/>
  <c r="A63" i="9"/>
  <c r="G62" i="9"/>
  <c r="C62" i="9"/>
  <c r="D61" i="9"/>
  <c r="A61" i="9" s="1"/>
  <c r="C60" i="9"/>
  <c r="B60" i="9"/>
  <c r="A60" i="9"/>
  <c r="G59" i="9"/>
  <c r="C59" i="9"/>
  <c r="D58" i="9"/>
  <c r="D59" i="9" s="1"/>
  <c r="A59" i="9" s="1"/>
  <c r="C57" i="9"/>
  <c r="B57" i="9"/>
  <c r="A57" i="9"/>
  <c r="G56" i="9"/>
  <c r="C56" i="9"/>
  <c r="D55" i="9"/>
  <c r="C54" i="9"/>
  <c r="B54" i="9"/>
  <c r="A54" i="9"/>
  <c r="C53" i="9"/>
  <c r="G52" i="9"/>
  <c r="G53" i="9" s="1"/>
  <c r="D52" i="9"/>
  <c r="B52" i="9" s="1"/>
  <c r="C51" i="9"/>
  <c r="B51" i="9"/>
  <c r="A51" i="9"/>
  <c r="G50" i="9"/>
  <c r="C50" i="9"/>
  <c r="D49" i="9"/>
  <c r="B49" i="9" s="1"/>
  <c r="C48" i="9"/>
  <c r="B48" i="9"/>
  <c r="A48" i="9"/>
  <c r="G47" i="9"/>
  <c r="C47" i="9"/>
  <c r="D46" i="9"/>
  <c r="B46" i="9" s="1"/>
  <c r="C45" i="9"/>
  <c r="B45" i="9"/>
  <c r="A45" i="9"/>
  <c r="C44" i="9"/>
  <c r="B44" i="9"/>
  <c r="A44" i="9"/>
  <c r="G43" i="9"/>
  <c r="C43" i="9"/>
  <c r="D42" i="9"/>
  <c r="A42" i="9" s="1"/>
  <c r="C41" i="9"/>
  <c r="B41" i="9"/>
  <c r="A41" i="9"/>
  <c r="C40" i="9"/>
  <c r="B40" i="9"/>
  <c r="A40" i="9"/>
  <c r="G39" i="9"/>
  <c r="C39" i="9"/>
  <c r="D38" i="9"/>
  <c r="A38" i="9" s="1"/>
  <c r="C37" i="9"/>
  <c r="B37" i="9"/>
  <c r="A37" i="9"/>
  <c r="C36" i="9"/>
  <c r="B36" i="9"/>
  <c r="A36" i="9"/>
  <c r="G35" i="9"/>
  <c r="C35" i="9"/>
  <c r="D34" i="9"/>
  <c r="D35" i="9" s="1"/>
  <c r="C33" i="9"/>
  <c r="B33" i="9"/>
  <c r="A33" i="9"/>
  <c r="G32" i="9"/>
  <c r="C32" i="9"/>
  <c r="D31" i="9"/>
  <c r="A31" i="9" s="1"/>
  <c r="C30" i="9"/>
  <c r="B30" i="9"/>
  <c r="A30" i="9"/>
  <c r="G29" i="9"/>
  <c r="D28" i="9"/>
  <c r="B28" i="9" s="1"/>
  <c r="C27" i="9"/>
  <c r="B27" i="9"/>
  <c r="A27" i="9"/>
  <c r="D26" i="9"/>
  <c r="A26" i="9" s="1"/>
  <c r="C25" i="9"/>
  <c r="B25" i="9"/>
  <c r="A25" i="9"/>
  <c r="D24" i="9"/>
  <c r="A24" i="9" s="1"/>
  <c r="C23" i="9"/>
  <c r="B23" i="9"/>
  <c r="A23" i="9"/>
  <c r="D22" i="9"/>
  <c r="C21" i="9"/>
  <c r="B21" i="9"/>
  <c r="A21" i="9"/>
  <c r="D20" i="9"/>
  <c r="A20" i="9" s="1"/>
  <c r="C19" i="9"/>
  <c r="B19" i="9"/>
  <c r="A19" i="9"/>
  <c r="C17" i="9"/>
  <c r="B17" i="9"/>
  <c r="A17" i="9"/>
  <c r="C15" i="9"/>
  <c r="B15" i="9"/>
  <c r="A15" i="9"/>
  <c r="D14" i="9"/>
  <c r="A14" i="9" s="1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H7" i="9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C7" i="9"/>
  <c r="B7" i="9"/>
  <c r="A7" i="9"/>
  <c r="C133" i="8"/>
  <c r="B133" i="8"/>
  <c r="A133" i="8"/>
  <c r="D132" i="8"/>
  <c r="B132" i="8" s="1"/>
  <c r="C131" i="8"/>
  <c r="B131" i="8"/>
  <c r="A131" i="8"/>
  <c r="C130" i="8"/>
  <c r="B130" i="8"/>
  <c r="A130" i="8"/>
  <c r="D129" i="8"/>
  <c r="B129" i="8" s="1"/>
  <c r="C128" i="8"/>
  <c r="B128" i="8"/>
  <c r="A128" i="8"/>
  <c r="C127" i="8"/>
  <c r="B127" i="8"/>
  <c r="A127" i="8"/>
  <c r="D126" i="8"/>
  <c r="B126" i="8" s="1"/>
  <c r="C125" i="8"/>
  <c r="B125" i="8"/>
  <c r="A125" i="8"/>
  <c r="C124" i="8"/>
  <c r="B124" i="8"/>
  <c r="A124" i="8"/>
  <c r="D123" i="8"/>
  <c r="B123" i="8" s="1"/>
  <c r="C122" i="8"/>
  <c r="B122" i="8"/>
  <c r="A122" i="8"/>
  <c r="C121" i="8"/>
  <c r="B121" i="8"/>
  <c r="A121" i="8"/>
  <c r="D120" i="8"/>
  <c r="B120" i="8" s="1"/>
  <c r="C119" i="8"/>
  <c r="B119" i="8"/>
  <c r="A119" i="8"/>
  <c r="C118" i="8"/>
  <c r="B118" i="8"/>
  <c r="A118" i="8"/>
  <c r="D117" i="8"/>
  <c r="A117" i="8" s="1"/>
  <c r="C116" i="8"/>
  <c r="B116" i="8"/>
  <c r="A116" i="8"/>
  <c r="C115" i="8"/>
  <c r="B115" i="8"/>
  <c r="A115" i="8"/>
  <c r="C114" i="8"/>
  <c r="B114" i="8"/>
  <c r="A114" i="8"/>
  <c r="C113" i="8"/>
  <c r="B113" i="8"/>
  <c r="A113" i="8"/>
  <c r="C112" i="8"/>
  <c r="B112" i="8"/>
  <c r="A112" i="8"/>
  <c r="C111" i="8"/>
  <c r="B111" i="8"/>
  <c r="A111" i="8"/>
  <c r="D110" i="8"/>
  <c r="B110" i="8" s="1"/>
  <c r="C109" i="8"/>
  <c r="B109" i="8"/>
  <c r="A109" i="8"/>
  <c r="C108" i="8"/>
  <c r="B108" i="8"/>
  <c r="A108" i="8"/>
  <c r="D105" i="8"/>
  <c r="B105" i="8" s="1"/>
  <c r="C104" i="8"/>
  <c r="B104" i="8"/>
  <c r="A104" i="8"/>
  <c r="C103" i="8"/>
  <c r="B103" i="8"/>
  <c r="A103" i="8"/>
  <c r="D102" i="8"/>
  <c r="B102" i="8" s="1"/>
  <c r="C101" i="8"/>
  <c r="B101" i="8"/>
  <c r="A101" i="8"/>
  <c r="C100" i="8"/>
  <c r="B100" i="8"/>
  <c r="A100" i="8"/>
  <c r="D99" i="8"/>
  <c r="A99" i="8" s="1"/>
  <c r="C98" i="8"/>
  <c r="B98" i="8"/>
  <c r="A98" i="8"/>
  <c r="C97" i="8"/>
  <c r="B97" i="8"/>
  <c r="A97" i="8"/>
  <c r="D96" i="8"/>
  <c r="A96" i="8" s="1"/>
  <c r="C95" i="8"/>
  <c r="B95" i="8"/>
  <c r="A95" i="8"/>
  <c r="C94" i="8"/>
  <c r="B94" i="8"/>
  <c r="A94" i="8"/>
  <c r="D93" i="8"/>
  <c r="A93" i="8" s="1"/>
  <c r="C92" i="8"/>
  <c r="B92" i="8"/>
  <c r="A92" i="8"/>
  <c r="C91" i="8"/>
  <c r="B91" i="8"/>
  <c r="A91" i="8"/>
  <c r="D90" i="8"/>
  <c r="B90" i="8" s="1"/>
  <c r="C89" i="8"/>
  <c r="B89" i="8"/>
  <c r="A89" i="8"/>
  <c r="C88" i="8"/>
  <c r="B88" i="8"/>
  <c r="A88" i="8"/>
  <c r="C87" i="8"/>
  <c r="B87" i="8"/>
  <c r="A87" i="8"/>
  <c r="D86" i="8"/>
  <c r="B86" i="8" s="1"/>
  <c r="C85" i="8"/>
  <c r="B85" i="8"/>
  <c r="A85" i="8"/>
  <c r="D84" i="8"/>
  <c r="A84" i="8" s="1"/>
  <c r="C83" i="8"/>
  <c r="B83" i="8"/>
  <c r="A83" i="8"/>
  <c r="C82" i="8"/>
  <c r="B82" i="8"/>
  <c r="A82" i="8"/>
  <c r="D81" i="8"/>
  <c r="B81" i="8" s="1"/>
  <c r="C80" i="8"/>
  <c r="B80" i="8"/>
  <c r="A80" i="8"/>
  <c r="C79" i="8"/>
  <c r="B79" i="8"/>
  <c r="A79" i="8"/>
  <c r="D78" i="8"/>
  <c r="B78" i="8" s="1"/>
  <c r="C77" i="8"/>
  <c r="B77" i="8"/>
  <c r="A77" i="8"/>
  <c r="C76" i="8"/>
  <c r="B76" i="8"/>
  <c r="A76" i="8"/>
  <c r="C74" i="8"/>
  <c r="B74" i="8"/>
  <c r="A74" i="8"/>
  <c r="C73" i="8"/>
  <c r="B73" i="8"/>
  <c r="A73" i="8"/>
  <c r="C71" i="8"/>
  <c r="B71" i="8"/>
  <c r="A71" i="8"/>
  <c r="C70" i="8"/>
  <c r="B70" i="8"/>
  <c r="A70" i="8"/>
  <c r="C68" i="8"/>
  <c r="B68" i="8"/>
  <c r="A68" i="8"/>
  <c r="C67" i="8"/>
  <c r="B67" i="8"/>
  <c r="A67" i="8"/>
  <c r="C65" i="8"/>
  <c r="B65" i="8"/>
  <c r="A65" i="8"/>
  <c r="C64" i="8"/>
  <c r="B64" i="8"/>
  <c r="A64" i="8"/>
  <c r="C62" i="8"/>
  <c r="B62" i="8"/>
  <c r="A62" i="8"/>
  <c r="C61" i="8"/>
  <c r="B61" i="8"/>
  <c r="A61" i="8"/>
  <c r="C59" i="8"/>
  <c r="B59" i="8"/>
  <c r="A59" i="8"/>
  <c r="C58" i="8"/>
  <c r="B58" i="8"/>
  <c r="A58" i="8"/>
  <c r="C56" i="8"/>
  <c r="B56" i="8"/>
  <c r="A56" i="8"/>
  <c r="C55" i="8"/>
  <c r="B55" i="8"/>
  <c r="A55" i="8"/>
  <c r="D54" i="8"/>
  <c r="B54" i="8" s="1"/>
  <c r="C53" i="8"/>
  <c r="B53" i="8"/>
  <c r="A53" i="8"/>
  <c r="C52" i="8"/>
  <c r="B52" i="8"/>
  <c r="A52" i="8"/>
  <c r="C51" i="8"/>
  <c r="B51" i="8"/>
  <c r="A51" i="8"/>
  <c r="D50" i="8"/>
  <c r="B50" i="8" s="1"/>
  <c r="C49" i="8"/>
  <c r="B49" i="8"/>
  <c r="A49" i="8"/>
  <c r="C48" i="8"/>
  <c r="B48" i="8"/>
  <c r="A48" i="8"/>
  <c r="C47" i="8"/>
  <c r="B47" i="8"/>
  <c r="A47" i="8"/>
  <c r="C46" i="8"/>
  <c r="B46" i="8"/>
  <c r="A46" i="8"/>
  <c r="H45" i="8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3" i="8" s="1" a="1"/>
  <c r="H3" i="8" s="1"/>
  <c r="B45" i="8"/>
  <c r="A45" i="8"/>
  <c r="C43" i="8"/>
  <c r="C42" i="8"/>
  <c r="B42" i="8"/>
  <c r="A42" i="8"/>
  <c r="C41" i="8"/>
  <c r="B41" i="8"/>
  <c r="A41" i="8"/>
  <c r="D40" i="8"/>
  <c r="A40" i="8" s="1"/>
  <c r="C39" i="8"/>
  <c r="B39" i="8"/>
  <c r="A39" i="8"/>
  <c r="C38" i="8"/>
  <c r="B38" i="8"/>
  <c r="A38" i="8"/>
  <c r="D37" i="8"/>
  <c r="B37" i="8" s="1"/>
  <c r="C36" i="8"/>
  <c r="B36" i="8"/>
  <c r="A36" i="8"/>
  <c r="C35" i="8"/>
  <c r="B35" i="8"/>
  <c r="A35" i="8"/>
  <c r="D34" i="8"/>
  <c r="B34" i="8" s="1"/>
  <c r="C33" i="8"/>
  <c r="B33" i="8"/>
  <c r="A33" i="8"/>
  <c r="C32" i="8"/>
  <c r="B32" i="8"/>
  <c r="A32" i="8"/>
  <c r="D31" i="8"/>
  <c r="C30" i="8"/>
  <c r="B30" i="8"/>
  <c r="A30" i="8"/>
  <c r="C29" i="8"/>
  <c r="B29" i="8"/>
  <c r="A29" i="8"/>
  <c r="D28" i="8"/>
  <c r="A28" i="8" s="1"/>
  <c r="C27" i="8"/>
  <c r="B27" i="8"/>
  <c r="A27" i="8"/>
  <c r="C26" i="8"/>
  <c r="B26" i="8"/>
  <c r="A26" i="8"/>
  <c r="D25" i="8"/>
  <c r="B25" i="8" s="1"/>
  <c r="C24" i="8"/>
  <c r="B24" i="8"/>
  <c r="A24" i="8"/>
  <c r="C23" i="8"/>
  <c r="B23" i="8"/>
  <c r="A23" i="8"/>
  <c r="D22" i="8"/>
  <c r="A22" i="8" s="1"/>
  <c r="C21" i="8"/>
  <c r="B21" i="8"/>
  <c r="A21" i="8"/>
  <c r="C20" i="8"/>
  <c r="B20" i="8"/>
  <c r="A20" i="8"/>
  <c r="D19" i="8"/>
  <c r="C18" i="8"/>
  <c r="B18" i="8"/>
  <c r="A18" i="8"/>
  <c r="D17" i="8"/>
  <c r="A17" i="8" s="1"/>
  <c r="C16" i="8"/>
  <c r="B16" i="8"/>
  <c r="A16" i="8"/>
  <c r="D15" i="8"/>
  <c r="B15" i="8" s="1"/>
  <c r="C14" i="8"/>
  <c r="B14" i="8"/>
  <c r="A14" i="8"/>
  <c r="D13" i="8"/>
  <c r="A13" i="8" s="1"/>
  <c r="C12" i="8"/>
  <c r="B12" i="8"/>
  <c r="A12" i="8"/>
  <c r="D10" i="8"/>
  <c r="A10" i="8" s="1"/>
  <c r="C9" i="8"/>
  <c r="B9" i="8"/>
  <c r="A9" i="8"/>
  <c r="C8" i="8"/>
  <c r="B8" i="8"/>
  <c r="A8" i="8"/>
  <c r="H8" i="8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C242" i="7"/>
  <c r="B242" i="7"/>
  <c r="A242" i="7"/>
  <c r="C241" i="7"/>
  <c r="B241" i="7"/>
  <c r="A241" i="7"/>
  <c r="D240" i="7"/>
  <c r="A240" i="7" s="1"/>
  <c r="C239" i="7"/>
  <c r="B239" i="7"/>
  <c r="A239" i="7"/>
  <c r="C238" i="7"/>
  <c r="B238" i="7"/>
  <c r="A238" i="7"/>
  <c r="D237" i="7"/>
  <c r="B237" i="7" s="1"/>
  <c r="C236" i="7"/>
  <c r="B236" i="7"/>
  <c r="A236" i="7"/>
  <c r="C235" i="7"/>
  <c r="B235" i="7"/>
  <c r="A235" i="7"/>
  <c r="D234" i="7"/>
  <c r="B234" i="7" s="1"/>
  <c r="C233" i="7"/>
  <c r="B233" i="7"/>
  <c r="A233" i="7"/>
  <c r="C232" i="7"/>
  <c r="B232" i="7"/>
  <c r="A232" i="7"/>
  <c r="D231" i="7"/>
  <c r="A231" i="7" s="1"/>
  <c r="C230" i="7"/>
  <c r="B230" i="7"/>
  <c r="A230" i="7"/>
  <c r="C229" i="7"/>
  <c r="B229" i="7"/>
  <c r="A229" i="7"/>
  <c r="D228" i="7"/>
  <c r="B228" i="7" s="1"/>
  <c r="C227" i="7"/>
  <c r="B227" i="7"/>
  <c r="A227" i="7"/>
  <c r="C226" i="7"/>
  <c r="B226" i="7"/>
  <c r="A226" i="7"/>
  <c r="D225" i="7"/>
  <c r="B225" i="7" s="1"/>
  <c r="C224" i="7"/>
  <c r="B224" i="7"/>
  <c r="A224" i="7"/>
  <c r="C223" i="7"/>
  <c r="B223" i="7"/>
  <c r="A223" i="7"/>
  <c r="D222" i="7"/>
  <c r="A222" i="7" s="1"/>
  <c r="C221" i="7"/>
  <c r="B221" i="7"/>
  <c r="A221" i="7"/>
  <c r="C220" i="7"/>
  <c r="B220" i="7"/>
  <c r="A220" i="7"/>
  <c r="D219" i="7"/>
  <c r="B219" i="7" s="1"/>
  <c r="C218" i="7"/>
  <c r="B218" i="7"/>
  <c r="A218" i="7"/>
  <c r="C217" i="7"/>
  <c r="B217" i="7"/>
  <c r="A217" i="7"/>
  <c r="D216" i="7"/>
  <c r="B216" i="7" s="1"/>
  <c r="C215" i="7"/>
  <c r="B215" i="7"/>
  <c r="A215" i="7"/>
  <c r="C214" i="7"/>
  <c r="B214" i="7"/>
  <c r="A214" i="7"/>
  <c r="D213" i="7"/>
  <c r="C212" i="7"/>
  <c r="B212" i="7"/>
  <c r="A212" i="7"/>
  <c r="C211" i="7"/>
  <c r="B211" i="7"/>
  <c r="A211" i="7"/>
  <c r="D210" i="7"/>
  <c r="B210" i="7" s="1"/>
  <c r="C209" i="7"/>
  <c r="B209" i="7"/>
  <c r="A209" i="7"/>
  <c r="C208" i="7"/>
  <c r="B208" i="7"/>
  <c r="A208" i="7"/>
  <c r="D207" i="7"/>
  <c r="B207" i="7" s="1"/>
  <c r="C206" i="7"/>
  <c r="B206" i="7"/>
  <c r="A206" i="7"/>
  <c r="C205" i="7"/>
  <c r="B205" i="7"/>
  <c r="A205" i="7"/>
  <c r="D204" i="7"/>
  <c r="A204" i="7" s="1"/>
  <c r="C203" i="7"/>
  <c r="B203" i="7"/>
  <c r="A203" i="7"/>
  <c r="C202" i="7"/>
  <c r="B202" i="7"/>
  <c r="A202" i="7"/>
  <c r="D201" i="7"/>
  <c r="B201" i="7" s="1"/>
  <c r="C200" i="7"/>
  <c r="B200" i="7"/>
  <c r="A200" i="7"/>
  <c r="C199" i="7"/>
  <c r="B199" i="7"/>
  <c r="A199" i="7"/>
  <c r="D198" i="7"/>
  <c r="B198" i="7" s="1"/>
  <c r="C197" i="7"/>
  <c r="B197" i="7"/>
  <c r="A197" i="7"/>
  <c r="C196" i="7"/>
  <c r="B196" i="7"/>
  <c r="A196" i="7"/>
  <c r="D195" i="7"/>
  <c r="C194" i="7"/>
  <c r="B194" i="7"/>
  <c r="A194" i="7"/>
  <c r="C193" i="7"/>
  <c r="B193" i="7"/>
  <c r="A193" i="7"/>
  <c r="D192" i="7"/>
  <c r="B192" i="7" s="1"/>
  <c r="C191" i="7"/>
  <c r="B191" i="7"/>
  <c r="A191" i="7"/>
  <c r="C190" i="7"/>
  <c r="B190" i="7"/>
  <c r="A190" i="7"/>
  <c r="D189" i="7"/>
  <c r="B189" i="7" s="1"/>
  <c r="C188" i="7"/>
  <c r="B188" i="7"/>
  <c r="A188" i="7"/>
  <c r="C187" i="7"/>
  <c r="B187" i="7"/>
  <c r="A187" i="7"/>
  <c r="D186" i="7"/>
  <c r="C185" i="7"/>
  <c r="B185" i="7"/>
  <c r="A185" i="7"/>
  <c r="C184" i="7"/>
  <c r="B184" i="7"/>
  <c r="A184" i="7"/>
  <c r="D183" i="7"/>
  <c r="B183" i="7" s="1"/>
  <c r="C182" i="7"/>
  <c r="B182" i="7"/>
  <c r="A182" i="7"/>
  <c r="C181" i="7"/>
  <c r="B181" i="7"/>
  <c r="A181" i="7"/>
  <c r="D180" i="7"/>
  <c r="B180" i="7" s="1"/>
  <c r="C179" i="7"/>
  <c r="B179" i="7"/>
  <c r="A179" i="7"/>
  <c r="C178" i="7"/>
  <c r="B178" i="7"/>
  <c r="A178" i="7"/>
  <c r="D177" i="7"/>
  <c r="A177" i="7" s="1"/>
  <c r="C176" i="7"/>
  <c r="B176" i="7"/>
  <c r="A176" i="7"/>
  <c r="C175" i="7"/>
  <c r="B175" i="7"/>
  <c r="A175" i="7"/>
  <c r="D174" i="7"/>
  <c r="C173" i="7"/>
  <c r="B173" i="7"/>
  <c r="A173" i="7"/>
  <c r="C172" i="7"/>
  <c r="B172" i="7"/>
  <c r="A172" i="7"/>
  <c r="C171" i="7"/>
  <c r="B171" i="7"/>
  <c r="A171" i="7"/>
  <c r="C170" i="7"/>
  <c r="B170" i="7"/>
  <c r="A170" i="7"/>
  <c r="D169" i="7"/>
  <c r="A169" i="7" s="1"/>
  <c r="C168" i="7"/>
  <c r="B168" i="7"/>
  <c r="A168" i="7"/>
  <c r="C167" i="7"/>
  <c r="B167" i="7"/>
  <c r="A167" i="7"/>
  <c r="D166" i="7"/>
  <c r="B166" i="7" s="1"/>
  <c r="C165" i="7"/>
  <c r="B165" i="7"/>
  <c r="A165" i="7"/>
  <c r="C164" i="7"/>
  <c r="B164" i="7"/>
  <c r="A164" i="7"/>
  <c r="D163" i="7"/>
  <c r="B163" i="7" s="1"/>
  <c r="C162" i="7"/>
  <c r="B162" i="7"/>
  <c r="A162" i="7"/>
  <c r="C161" i="7"/>
  <c r="B161" i="7"/>
  <c r="A161" i="7"/>
  <c r="D160" i="7"/>
  <c r="A160" i="7" s="1"/>
  <c r="C159" i="7"/>
  <c r="B159" i="7"/>
  <c r="A159" i="7"/>
  <c r="C158" i="7"/>
  <c r="B158" i="7"/>
  <c r="A158" i="7"/>
  <c r="C157" i="7"/>
  <c r="B157" i="7"/>
  <c r="A157" i="7"/>
  <c r="D156" i="7"/>
  <c r="C155" i="7"/>
  <c r="B155" i="7"/>
  <c r="A155" i="7"/>
  <c r="C154" i="7"/>
  <c r="B154" i="7"/>
  <c r="A154" i="7"/>
  <c r="D153" i="7"/>
  <c r="B153" i="7" s="1"/>
  <c r="C152" i="7"/>
  <c r="B152" i="7"/>
  <c r="A152" i="7"/>
  <c r="C151" i="7"/>
  <c r="B151" i="7"/>
  <c r="A151" i="7"/>
  <c r="D150" i="7"/>
  <c r="B150" i="7" s="1"/>
  <c r="C149" i="7"/>
  <c r="B149" i="7"/>
  <c r="A149" i="7"/>
  <c r="C148" i="7"/>
  <c r="B148" i="7"/>
  <c r="A148" i="7"/>
  <c r="C146" i="7"/>
  <c r="B146" i="7"/>
  <c r="A146" i="7"/>
  <c r="C145" i="7"/>
  <c r="B145" i="7"/>
  <c r="A145" i="7"/>
  <c r="D144" i="7"/>
  <c r="B144" i="7" s="1"/>
  <c r="C143" i="7"/>
  <c r="B143" i="7"/>
  <c r="A143" i="7"/>
  <c r="C142" i="7"/>
  <c r="B142" i="7"/>
  <c r="A142" i="7"/>
  <c r="D141" i="7"/>
  <c r="A141" i="7" s="1"/>
  <c r="C140" i="7"/>
  <c r="B140" i="7"/>
  <c r="A140" i="7"/>
  <c r="C139" i="7"/>
  <c r="B139" i="7"/>
  <c r="A139" i="7"/>
  <c r="D138" i="7"/>
  <c r="C137" i="7"/>
  <c r="B137" i="7"/>
  <c r="A137" i="7"/>
  <c r="C136" i="7"/>
  <c r="B136" i="7"/>
  <c r="A136" i="7"/>
  <c r="D135" i="7"/>
  <c r="A135" i="7" s="1"/>
  <c r="C134" i="7"/>
  <c r="B134" i="7"/>
  <c r="A134" i="7"/>
  <c r="C133" i="7"/>
  <c r="B133" i="7"/>
  <c r="A133" i="7"/>
  <c r="D132" i="7"/>
  <c r="C131" i="7"/>
  <c r="B131" i="7"/>
  <c r="A131" i="7"/>
  <c r="C130" i="7"/>
  <c r="B130" i="7"/>
  <c r="A130" i="7"/>
  <c r="D129" i="7"/>
  <c r="B129" i="7" s="1"/>
  <c r="C128" i="7"/>
  <c r="B128" i="7"/>
  <c r="A128" i="7"/>
  <c r="C127" i="7"/>
  <c r="B127" i="7"/>
  <c r="A127" i="7"/>
  <c r="D126" i="7"/>
  <c r="A126" i="7" s="1"/>
  <c r="C125" i="7"/>
  <c r="B125" i="7"/>
  <c r="A125" i="7"/>
  <c r="C124" i="7"/>
  <c r="B124" i="7"/>
  <c r="A124" i="7"/>
  <c r="D123" i="7"/>
  <c r="A123" i="7" s="1"/>
  <c r="C122" i="7"/>
  <c r="B122" i="7"/>
  <c r="A122" i="7"/>
  <c r="C121" i="7"/>
  <c r="B121" i="7"/>
  <c r="A121" i="7"/>
  <c r="D120" i="7"/>
  <c r="A120" i="7" s="1"/>
  <c r="C119" i="7"/>
  <c r="B119" i="7"/>
  <c r="A119" i="7"/>
  <c r="C118" i="7"/>
  <c r="B118" i="7"/>
  <c r="A118" i="7"/>
  <c r="C116" i="7"/>
  <c r="B116" i="7"/>
  <c r="A116" i="7"/>
  <c r="C115" i="7"/>
  <c r="B115" i="7"/>
  <c r="A115" i="7"/>
  <c r="C113" i="7"/>
  <c r="B113" i="7"/>
  <c r="A113" i="7"/>
  <c r="C112" i="7"/>
  <c r="B112" i="7"/>
  <c r="A112" i="7"/>
  <c r="C110" i="7"/>
  <c r="B110" i="7"/>
  <c r="A110" i="7"/>
  <c r="C109" i="7"/>
  <c r="B109" i="7"/>
  <c r="A109" i="7"/>
  <c r="C107" i="7"/>
  <c r="B107" i="7"/>
  <c r="A107" i="7"/>
  <c r="C106" i="7"/>
  <c r="B106" i="7"/>
  <c r="A106" i="7"/>
  <c r="C104" i="7"/>
  <c r="B104" i="7"/>
  <c r="A104" i="7"/>
  <c r="C103" i="7"/>
  <c r="B103" i="7"/>
  <c r="A103" i="7"/>
  <c r="C101" i="7"/>
  <c r="B101" i="7"/>
  <c r="A101" i="7"/>
  <c r="C100" i="7"/>
  <c r="B100" i="7"/>
  <c r="A100" i="7"/>
  <c r="C98" i="7"/>
  <c r="B98" i="7"/>
  <c r="A98" i="7"/>
  <c r="C97" i="7"/>
  <c r="B97" i="7"/>
  <c r="A97" i="7"/>
  <c r="C95" i="7"/>
  <c r="B95" i="7"/>
  <c r="A95" i="7"/>
  <c r="C94" i="7"/>
  <c r="B94" i="7"/>
  <c r="A94" i="7"/>
  <c r="C93" i="7"/>
  <c r="B93" i="7"/>
  <c r="A93" i="7"/>
  <c r="C91" i="7"/>
  <c r="B91" i="7"/>
  <c r="A91" i="7"/>
  <c r="C90" i="7"/>
  <c r="B90" i="7"/>
  <c r="A90" i="7"/>
  <c r="C89" i="7"/>
  <c r="B89" i="7"/>
  <c r="A89" i="7"/>
  <c r="C87" i="7"/>
  <c r="B87" i="7"/>
  <c r="A87" i="7"/>
  <c r="C86" i="7"/>
  <c r="B86" i="7"/>
  <c r="A86" i="7"/>
  <c r="C85" i="7"/>
  <c r="B85" i="7"/>
  <c r="A85" i="7"/>
  <c r="C83" i="7"/>
  <c r="B83" i="7"/>
  <c r="A83" i="7"/>
  <c r="C82" i="7"/>
  <c r="B82" i="7"/>
  <c r="A82" i="7"/>
  <c r="D81" i="7"/>
  <c r="B81" i="7" s="1"/>
  <c r="C80" i="7"/>
  <c r="B80" i="7"/>
  <c r="A80" i="7"/>
  <c r="C79" i="7"/>
  <c r="B79" i="7"/>
  <c r="A79" i="7"/>
  <c r="C78" i="7"/>
  <c r="B78" i="7"/>
  <c r="A78" i="7"/>
  <c r="C77" i="7"/>
  <c r="B77" i="7"/>
  <c r="A77" i="7"/>
  <c r="D76" i="7"/>
  <c r="B76" i="7" s="1"/>
  <c r="C75" i="7"/>
  <c r="B75" i="7"/>
  <c r="A75" i="7"/>
  <c r="C74" i="7"/>
  <c r="B74" i="7"/>
  <c r="A74" i="7"/>
  <c r="C72" i="7"/>
  <c r="B72" i="7"/>
  <c r="A72" i="7"/>
  <c r="C70" i="7"/>
  <c r="B70" i="7"/>
  <c r="A70" i="7"/>
  <c r="C68" i="7"/>
  <c r="B68" i="7"/>
  <c r="A68" i="7"/>
  <c r="C66" i="7"/>
  <c r="B66" i="7"/>
  <c r="A66" i="7"/>
  <c r="C64" i="7"/>
  <c r="B64" i="7"/>
  <c r="A64" i="7"/>
  <c r="C62" i="7"/>
  <c r="B62" i="7"/>
  <c r="A62" i="7"/>
  <c r="C60" i="7"/>
  <c r="B60" i="7"/>
  <c r="A60" i="7"/>
  <c r="C58" i="7"/>
  <c r="B58" i="7"/>
  <c r="A58" i="7"/>
  <c r="C56" i="7"/>
  <c r="B56" i="7"/>
  <c r="A56" i="7"/>
  <c r="C54" i="7"/>
  <c r="B54" i="7"/>
  <c r="A54" i="7"/>
  <c r="C52" i="7"/>
  <c r="B52" i="7"/>
  <c r="A52" i="7"/>
  <c r="C50" i="7"/>
  <c r="B50" i="7"/>
  <c r="A50" i="7"/>
  <c r="C49" i="7"/>
  <c r="B49" i="7"/>
  <c r="A49" i="7"/>
  <c r="C47" i="7"/>
  <c r="B47" i="7"/>
  <c r="A47" i="7"/>
  <c r="D46" i="7"/>
  <c r="D48" i="7" s="1"/>
  <c r="C45" i="7"/>
  <c r="B45" i="7"/>
  <c r="A45" i="7"/>
  <c r="C44" i="7"/>
  <c r="B44" i="7"/>
  <c r="A44" i="7"/>
  <c r="D43" i="7"/>
  <c r="A43" i="7" s="1"/>
  <c r="C42" i="7"/>
  <c r="B42" i="7"/>
  <c r="A42" i="7"/>
  <c r="C41" i="7"/>
  <c r="B41" i="7"/>
  <c r="A41" i="7"/>
  <c r="D40" i="7"/>
  <c r="C39" i="7"/>
  <c r="B39" i="7"/>
  <c r="A39" i="7"/>
  <c r="D38" i="7"/>
  <c r="A38" i="7" s="1"/>
  <c r="C37" i="7"/>
  <c r="B37" i="7"/>
  <c r="A37" i="7"/>
  <c r="C35" i="7"/>
  <c r="B35" i="7"/>
  <c r="A35" i="7"/>
  <c r="C34" i="7"/>
  <c r="B34" i="7"/>
  <c r="A34" i="7"/>
  <c r="D33" i="7"/>
  <c r="C32" i="7"/>
  <c r="B32" i="7"/>
  <c r="A32" i="7"/>
  <c r="C31" i="7"/>
  <c r="B31" i="7"/>
  <c r="A31" i="7"/>
  <c r="D30" i="7"/>
  <c r="B30" i="7" s="1"/>
  <c r="C29" i="7"/>
  <c r="B29" i="7"/>
  <c r="A29" i="7"/>
  <c r="C28" i="7"/>
  <c r="B28" i="7"/>
  <c r="A28" i="7"/>
  <c r="D27" i="7"/>
  <c r="B27" i="7" s="1"/>
  <c r="C26" i="7"/>
  <c r="B26" i="7"/>
  <c r="A26" i="7"/>
  <c r="C25" i="7"/>
  <c r="B25" i="7"/>
  <c r="A25" i="7"/>
  <c r="D24" i="7"/>
  <c r="A24" i="7" s="1"/>
  <c r="C23" i="7"/>
  <c r="B23" i="7"/>
  <c r="A23" i="7"/>
  <c r="C22" i="7"/>
  <c r="B22" i="7"/>
  <c r="A22" i="7"/>
  <c r="C21" i="7"/>
  <c r="B21" i="7"/>
  <c r="A21" i="7"/>
  <c r="D20" i="7"/>
  <c r="B20" i="7" s="1"/>
  <c r="C19" i="7"/>
  <c r="B19" i="7"/>
  <c r="A19" i="7"/>
  <c r="C18" i="7"/>
  <c r="B18" i="7"/>
  <c r="A18" i="7"/>
  <c r="D17" i="7"/>
  <c r="A17" i="7" s="1"/>
  <c r="C16" i="7"/>
  <c r="B16" i="7"/>
  <c r="A16" i="7"/>
  <c r="C15" i="7"/>
  <c r="B15" i="7"/>
  <c r="A15" i="7"/>
  <c r="C14" i="7"/>
  <c r="B14" i="7"/>
  <c r="A14" i="7"/>
  <c r="B13" i="7"/>
  <c r="A13" i="7"/>
  <c r="C12" i="7"/>
  <c r="B12" i="7"/>
  <c r="A12" i="7"/>
  <c r="B11" i="7"/>
  <c r="A11" i="7"/>
  <c r="G10" i="7"/>
  <c r="C10" i="7"/>
  <c r="B10" i="7"/>
  <c r="A10" i="7"/>
  <c r="F9" i="7"/>
  <c r="C9" i="7"/>
  <c r="B9" i="7"/>
  <c r="A9" i="7"/>
  <c r="B8" i="7"/>
  <c r="A8" i="7"/>
  <c r="H8" i="7"/>
  <c r="C67" i="6"/>
  <c r="B67" i="6"/>
  <c r="A67" i="6"/>
  <c r="C65" i="6"/>
  <c r="B65" i="6"/>
  <c r="A65" i="6"/>
  <c r="C63" i="6"/>
  <c r="B63" i="6"/>
  <c r="A63" i="6"/>
  <c r="C61" i="6"/>
  <c r="B61" i="6"/>
  <c r="A61" i="6"/>
  <c r="C59" i="6"/>
  <c r="B59" i="6"/>
  <c r="A59" i="6"/>
  <c r="C57" i="6"/>
  <c r="B57" i="6"/>
  <c r="A57" i="6"/>
  <c r="C55" i="6"/>
  <c r="B55" i="6"/>
  <c r="A55" i="6"/>
  <c r="C53" i="6"/>
  <c r="B53" i="6"/>
  <c r="A53" i="6"/>
  <c r="C51" i="6"/>
  <c r="B51" i="6"/>
  <c r="A51" i="6"/>
  <c r="C49" i="6"/>
  <c r="B49" i="6"/>
  <c r="A49" i="6"/>
  <c r="C47" i="6"/>
  <c r="B47" i="6"/>
  <c r="A47" i="6"/>
  <c r="C45" i="6"/>
  <c r="B45" i="6"/>
  <c r="A45" i="6"/>
  <c r="C43" i="6"/>
  <c r="B43" i="6"/>
  <c r="A43" i="6"/>
  <c r="C41" i="6"/>
  <c r="B41" i="6"/>
  <c r="A41" i="6"/>
  <c r="C39" i="6"/>
  <c r="B39" i="6"/>
  <c r="A39" i="6"/>
  <c r="C37" i="6"/>
  <c r="B37" i="6"/>
  <c r="A37" i="6"/>
  <c r="C35" i="6"/>
  <c r="B35" i="6"/>
  <c r="A35" i="6"/>
  <c r="C33" i="6"/>
  <c r="B33" i="6"/>
  <c r="A33" i="6"/>
  <c r="C31" i="6"/>
  <c r="B31" i="6"/>
  <c r="A31" i="6"/>
  <c r="C28" i="6"/>
  <c r="B28" i="6"/>
  <c r="A28" i="6"/>
  <c r="C26" i="6"/>
  <c r="B26" i="6"/>
  <c r="A26" i="6"/>
  <c r="C24" i="6"/>
  <c r="B24" i="6"/>
  <c r="A24" i="6"/>
  <c r="C22" i="6"/>
  <c r="B22" i="6"/>
  <c r="A22" i="6"/>
  <c r="D21" i="6"/>
  <c r="D23" i="6" s="1"/>
  <c r="C20" i="6"/>
  <c r="B20" i="6"/>
  <c r="A20" i="6"/>
  <c r="C19" i="6"/>
  <c r="B19" i="6"/>
  <c r="A19" i="6"/>
  <c r="C17" i="6"/>
  <c r="B17" i="6"/>
  <c r="A17" i="6"/>
  <c r="C15" i="6"/>
  <c r="B15" i="6"/>
  <c r="A15" i="6"/>
  <c r="C13" i="6"/>
  <c r="B13" i="6"/>
  <c r="A13" i="6"/>
  <c r="C11" i="6"/>
  <c r="B11" i="6"/>
  <c r="A11" i="6"/>
  <c r="C10" i="6"/>
  <c r="D9" i="6"/>
  <c r="A9" i="6" s="1"/>
  <c r="C9" i="6"/>
  <c r="B8" i="6"/>
  <c r="A8" i="6"/>
  <c r="H7" i="6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3" i="6" s="1" a="1"/>
  <c r="H3" i="6" s="1"/>
  <c r="C7" i="6"/>
  <c r="B7" i="6"/>
  <c r="A7" i="6"/>
  <c r="K35" i="3"/>
  <c r="J35" i="3"/>
  <c r="I35" i="3"/>
  <c r="G35" i="3"/>
  <c r="E35" i="3"/>
  <c r="K34" i="3"/>
  <c r="J34" i="3"/>
  <c r="I34" i="3"/>
  <c r="G34" i="3"/>
  <c r="E34" i="3"/>
  <c r="K33" i="3"/>
  <c r="J33" i="3"/>
  <c r="I33" i="3"/>
  <c r="G33" i="3"/>
  <c r="E33" i="3"/>
  <c r="K32" i="3"/>
  <c r="J32" i="3"/>
  <c r="I32" i="3"/>
  <c r="G32" i="3"/>
  <c r="E32" i="3"/>
  <c r="K31" i="3"/>
  <c r="J31" i="3"/>
  <c r="I31" i="3"/>
  <c r="G31" i="3"/>
  <c r="E31" i="3"/>
  <c r="I30" i="3"/>
  <c r="G30" i="3"/>
  <c r="D30" i="3"/>
  <c r="K29" i="3"/>
  <c r="J29" i="3"/>
  <c r="I29" i="3"/>
  <c r="G29" i="3"/>
  <c r="E29" i="3"/>
  <c r="K28" i="3"/>
  <c r="J28" i="3" s="1"/>
  <c r="I28" i="3"/>
  <c r="G28" i="3"/>
  <c r="E28" i="3"/>
  <c r="K27" i="3"/>
  <c r="J27" i="3" s="1"/>
  <c r="I27" i="3"/>
  <c r="G27" i="3"/>
  <c r="E27" i="3"/>
  <c r="C27" i="3"/>
  <c r="C31" i="3" s="1"/>
  <c r="I26" i="3"/>
  <c r="F26" i="3"/>
  <c r="E26" i="3"/>
  <c r="C26" i="3"/>
  <c r="C30" i="3" s="1"/>
  <c r="K25" i="3"/>
  <c r="J25" i="3"/>
  <c r="I25" i="3"/>
  <c r="G25" i="3"/>
  <c r="E25" i="3"/>
  <c r="C25" i="3"/>
  <c r="C29" i="3" s="1"/>
  <c r="K24" i="3"/>
  <c r="J24" i="3"/>
  <c r="I24" i="3"/>
  <c r="G24" i="3"/>
  <c r="E24" i="3"/>
  <c r="C24" i="3"/>
  <c r="C28" i="3" s="1"/>
  <c r="C32" i="3" s="1"/>
  <c r="K23" i="3"/>
  <c r="J23" i="3"/>
  <c r="I23" i="3"/>
  <c r="H23" i="3"/>
  <c r="G23" i="3"/>
  <c r="E23" i="3"/>
  <c r="K22" i="3"/>
  <c r="J22" i="3" s="1"/>
  <c r="I22" i="3"/>
  <c r="G22" i="3"/>
  <c r="E22" i="3"/>
  <c r="K21" i="3"/>
  <c r="J21" i="3"/>
  <c r="I21" i="3"/>
  <c r="G21" i="3"/>
  <c r="E21" i="3"/>
  <c r="K20" i="3"/>
  <c r="J20" i="3" s="1"/>
  <c r="I20" i="3"/>
  <c r="G20" i="3"/>
  <c r="E20" i="3"/>
  <c r="K19" i="3"/>
  <c r="J19" i="3" s="1"/>
  <c r="I19" i="3"/>
  <c r="G19" i="3"/>
  <c r="E19" i="3"/>
  <c r="K18" i="3"/>
  <c r="J18" i="3" s="1"/>
  <c r="I18" i="3"/>
  <c r="G18" i="3"/>
  <c r="E18" i="3"/>
  <c r="K17" i="3"/>
  <c r="J17" i="3"/>
  <c r="O17" i="3" s="1"/>
  <c r="I17" i="3"/>
  <c r="G17" i="3"/>
  <c r="E17" i="3"/>
  <c r="K16" i="3"/>
  <c r="J16" i="3" s="1"/>
  <c r="I16" i="3"/>
  <c r="G16" i="3"/>
  <c r="E16" i="3"/>
  <c r="J15" i="3"/>
  <c r="H15" i="3"/>
  <c r="I15" i="3" s="1"/>
  <c r="G15" i="3"/>
  <c r="F15" i="3"/>
  <c r="D15" i="3"/>
  <c r="E15" i="3" s="1"/>
  <c r="K14" i="3"/>
  <c r="J14" i="3" s="1"/>
  <c r="I14" i="3"/>
  <c r="G14" i="3"/>
  <c r="E14" i="3"/>
  <c r="K13" i="3"/>
  <c r="J13" i="3" s="1"/>
  <c r="I13" i="3"/>
  <c r="G13" i="3"/>
  <c r="E13" i="3"/>
  <c r="K12" i="3"/>
  <c r="J12" i="3" s="1"/>
  <c r="I12" i="3"/>
  <c r="G12" i="3"/>
  <c r="E12" i="3"/>
  <c r="K11" i="3"/>
  <c r="J11" i="3" s="1"/>
  <c r="I11" i="3"/>
  <c r="G11" i="3"/>
  <c r="E11" i="3"/>
  <c r="K10" i="3"/>
  <c r="J10" i="3" s="1"/>
  <c r="I10" i="3"/>
  <c r="G10" i="3"/>
  <c r="E10" i="3"/>
  <c r="A170" i="9" l="1"/>
  <c r="A163" i="7"/>
  <c r="E163" i="7" s="1"/>
  <c r="C163" i="7" s="1"/>
  <c r="A27" i="7"/>
  <c r="E27" i="7" s="1"/>
  <c r="C27" i="7" s="1"/>
  <c r="B43" i="7"/>
  <c r="A20" i="7"/>
  <c r="E20" i="7" s="1"/>
  <c r="C20" i="7" s="1"/>
  <c r="A129" i="7"/>
  <c r="E129" i="7" s="1"/>
  <c r="C129" i="7" s="1"/>
  <c r="A46" i="7"/>
  <c r="A237" i="7"/>
  <c r="E237" i="7" s="1"/>
  <c r="C237" i="7" s="1"/>
  <c r="A234" i="7"/>
  <c r="E234" i="7" s="1"/>
  <c r="C234" i="7" s="1"/>
  <c r="B231" i="7"/>
  <c r="E231" i="7" s="1"/>
  <c r="C231" i="7" s="1"/>
  <c r="B240" i="7"/>
  <c r="B17" i="7"/>
  <c r="E17" i="7" s="1"/>
  <c r="C17" i="7" s="1"/>
  <c r="A192" i="9"/>
  <c r="H121" i="9"/>
  <c r="H122" i="9" s="1"/>
  <c r="H123" i="9" s="1"/>
  <c r="H124" i="9" s="1"/>
  <c r="B160" i="7"/>
  <c r="E160" i="7" s="1"/>
  <c r="C160" i="7" s="1"/>
  <c r="A166" i="7"/>
  <c r="E166" i="7" s="1"/>
  <c r="C166" i="7" s="1"/>
  <c r="B24" i="7"/>
  <c r="E37" i="12"/>
  <c r="C37" i="12" s="1"/>
  <c r="B43" i="11"/>
  <c r="E43" i="11" s="1"/>
  <c r="C43" i="11" s="1"/>
  <c r="B64" i="11"/>
  <c r="B169" i="11"/>
  <c r="E169" i="11" s="1"/>
  <c r="C169" i="11" s="1"/>
  <c r="E45" i="8"/>
  <c r="C45" i="8" s="1"/>
  <c r="B14" i="9"/>
  <c r="B108" i="9"/>
  <c r="E108" i="9" s="1"/>
  <c r="C108" i="9" s="1"/>
  <c r="E192" i="9"/>
  <c r="C192" i="9" s="1"/>
  <c r="B20" i="9"/>
  <c r="A184" i="9"/>
  <c r="E184" i="9" s="1"/>
  <c r="C184" i="9" s="1"/>
  <c r="B24" i="9"/>
  <c r="E24" i="9" s="1"/>
  <c r="C24" i="9" s="1"/>
  <c r="B155" i="9"/>
  <c r="A174" i="9"/>
  <c r="E174" i="9" s="1"/>
  <c r="C174" i="9" s="1"/>
  <c r="B26" i="9"/>
  <c r="A58" i="9"/>
  <c r="B58" i="9"/>
  <c r="A89" i="9"/>
  <c r="E89" i="9" s="1"/>
  <c r="C89" i="9" s="1"/>
  <c r="D90" i="9"/>
  <c r="A90" i="9" s="1"/>
  <c r="B98" i="9"/>
  <c r="E98" i="9" s="1"/>
  <c r="C98" i="9" s="1"/>
  <c r="D99" i="9"/>
  <c r="D101" i="9" s="1"/>
  <c r="A105" i="9"/>
  <c r="E105" i="9" s="1"/>
  <c r="C105" i="9" s="1"/>
  <c r="D106" i="9"/>
  <c r="B182" i="9"/>
  <c r="E182" i="9" s="1"/>
  <c r="C182" i="9" s="1"/>
  <c r="D57" i="8"/>
  <c r="D60" i="8" s="1"/>
  <c r="B10" i="8"/>
  <c r="B22" i="8"/>
  <c r="B84" i="8"/>
  <c r="E84" i="8" s="1"/>
  <c r="C84" i="8" s="1"/>
  <c r="A86" i="8"/>
  <c r="E86" i="8" s="1"/>
  <c r="C86" i="8" s="1"/>
  <c r="A123" i="8"/>
  <c r="E123" i="8" s="1"/>
  <c r="C123" i="8" s="1"/>
  <c r="B17" i="8"/>
  <c r="E17" i="8" s="1"/>
  <c r="C17" i="8" s="1"/>
  <c r="B28" i="8"/>
  <c r="E28" i="8" s="1"/>
  <c r="C28" i="8" s="1"/>
  <c r="A110" i="8"/>
  <c r="E110" i="8" s="1"/>
  <c r="C110" i="8" s="1"/>
  <c r="B117" i="8"/>
  <c r="E117" i="8" s="1"/>
  <c r="C117" i="8" s="1"/>
  <c r="B120" i="7"/>
  <c r="B123" i="7"/>
  <c r="E123" i="7" s="1"/>
  <c r="C123" i="7" s="1"/>
  <c r="B177" i="7"/>
  <c r="E177" i="7" s="1"/>
  <c r="C177" i="7" s="1"/>
  <c r="A180" i="7"/>
  <c r="E180" i="7" s="1"/>
  <c r="C180" i="7" s="1"/>
  <c r="A183" i="7"/>
  <c r="E183" i="7" s="1"/>
  <c r="C183" i="7" s="1"/>
  <c r="A198" i="7"/>
  <c r="E198" i="7" s="1"/>
  <c r="C198" i="7" s="1"/>
  <c r="A201" i="7"/>
  <c r="E201" i="7" s="1"/>
  <c r="C201" i="7" s="1"/>
  <c r="B204" i="7"/>
  <c r="A207" i="7"/>
  <c r="E207" i="7" s="1"/>
  <c r="C207" i="7" s="1"/>
  <c r="A210" i="7"/>
  <c r="E210" i="7" s="1"/>
  <c r="C210" i="7" s="1"/>
  <c r="E13" i="7"/>
  <c r="C13" i="7" s="1"/>
  <c r="A150" i="7"/>
  <c r="E150" i="7" s="1"/>
  <c r="C150" i="7" s="1"/>
  <c r="A153" i="7"/>
  <c r="E153" i="7" s="1"/>
  <c r="C153" i="7" s="1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H113" i="7" s="1"/>
  <c r="H114" i="7" s="1"/>
  <c r="H115" i="7" s="1"/>
  <c r="H116" i="7" s="1"/>
  <c r="H117" i="7" s="1"/>
  <c r="H118" i="7" s="1"/>
  <c r="H119" i="7" s="1"/>
  <c r="H120" i="7" s="1"/>
  <c r="H121" i="7" s="1"/>
  <c r="H122" i="7" s="1"/>
  <c r="H123" i="7" s="1"/>
  <c r="H124" i="7" s="1"/>
  <c r="H125" i="7" s="1"/>
  <c r="H126" i="7" s="1"/>
  <c r="H127" i="7" s="1"/>
  <c r="H128" i="7" s="1"/>
  <c r="H129" i="7" s="1"/>
  <c r="H130" i="7" s="1"/>
  <c r="H131" i="7" s="1"/>
  <c r="H132" i="7" s="1"/>
  <c r="H133" i="7" s="1"/>
  <c r="H134" i="7" s="1"/>
  <c r="H135" i="7" s="1"/>
  <c r="H136" i="7" s="1"/>
  <c r="H137" i="7" s="1"/>
  <c r="H138" i="7" s="1"/>
  <c r="H139" i="7" s="1"/>
  <c r="H140" i="7" s="1"/>
  <c r="H141" i="7" s="1"/>
  <c r="H142" i="7" s="1"/>
  <c r="H143" i="7" s="1"/>
  <c r="H144" i="7" s="1"/>
  <c r="H145" i="7" s="1"/>
  <c r="H146" i="7" s="1"/>
  <c r="H147" i="7" s="1"/>
  <c r="H148" i="7" s="1"/>
  <c r="H149" i="7" s="1"/>
  <c r="H150" i="7" s="1"/>
  <c r="H151" i="7" s="1"/>
  <c r="H152" i="7" s="1"/>
  <c r="H153" i="7" s="1"/>
  <c r="H154" i="7" s="1"/>
  <c r="H155" i="7" s="1"/>
  <c r="H156" i="7" s="1"/>
  <c r="H157" i="7" s="1"/>
  <c r="H158" i="7" s="1"/>
  <c r="H159" i="7" s="1"/>
  <c r="H160" i="7" s="1"/>
  <c r="H161" i="7" s="1"/>
  <c r="H162" i="7" s="1"/>
  <c r="H163" i="7" s="1"/>
  <c r="H164" i="7" s="1"/>
  <c r="H165" i="7" s="1"/>
  <c r="H166" i="7" s="1"/>
  <c r="H167" i="7" s="1"/>
  <c r="H168" i="7" s="1"/>
  <c r="H169" i="7" s="1"/>
  <c r="H170" i="7" s="1"/>
  <c r="H171" i="7" s="1"/>
  <c r="H172" i="7" s="1"/>
  <c r="H173" i="7" s="1"/>
  <c r="H174" i="7" s="1"/>
  <c r="H175" i="7" s="1"/>
  <c r="H176" i="7" s="1"/>
  <c r="H177" i="7" s="1"/>
  <c r="H178" i="7" s="1"/>
  <c r="H179" i="7" s="1"/>
  <c r="H180" i="7" s="1"/>
  <c r="H181" i="7" s="1"/>
  <c r="H182" i="7" s="1"/>
  <c r="H183" i="7" s="1"/>
  <c r="H184" i="7" s="1"/>
  <c r="H185" i="7" s="1"/>
  <c r="H186" i="7" s="1"/>
  <c r="H187" i="7" s="1"/>
  <c r="H188" i="7" s="1"/>
  <c r="H189" i="7" s="1"/>
  <c r="H190" i="7" s="1"/>
  <c r="H191" i="7" s="1"/>
  <c r="H192" i="7" s="1"/>
  <c r="H193" i="7" s="1"/>
  <c r="H194" i="7" s="1"/>
  <c r="H195" i="7" s="1"/>
  <c r="H196" i="7" s="1"/>
  <c r="H197" i="7" s="1"/>
  <c r="H198" i="7" s="1"/>
  <c r="H199" i="7" s="1"/>
  <c r="H200" i="7" s="1"/>
  <c r="H201" i="7" s="1"/>
  <c r="H202" i="7" s="1"/>
  <c r="H203" i="7" s="1"/>
  <c r="H204" i="7" s="1"/>
  <c r="H205" i="7" s="1"/>
  <c r="H206" i="7" s="1"/>
  <c r="H207" i="7" s="1"/>
  <c r="H208" i="7" s="1"/>
  <c r="H209" i="7" s="1"/>
  <c r="H210" i="7" s="1"/>
  <c r="H211" i="7" s="1"/>
  <c r="H212" i="7" s="1"/>
  <c r="H213" i="7" s="1"/>
  <c r="H214" i="7" s="1"/>
  <c r="H215" i="7" s="1"/>
  <c r="H216" i="7" s="1"/>
  <c r="H217" i="7" s="1"/>
  <c r="H218" i="7" s="1"/>
  <c r="H219" i="7" s="1"/>
  <c r="H220" i="7" s="1"/>
  <c r="H221" i="7" s="1"/>
  <c r="H222" i="7" s="1"/>
  <c r="H223" i="7" s="1"/>
  <c r="H224" i="7" s="1"/>
  <c r="H225" i="7" s="1"/>
  <c r="H226" i="7" s="1"/>
  <c r="H227" i="7" s="1"/>
  <c r="H228" i="7" s="1"/>
  <c r="H229" i="7" s="1"/>
  <c r="H230" i="7" s="1"/>
  <c r="H231" i="7" s="1"/>
  <c r="H232" i="7" s="1"/>
  <c r="H233" i="7" s="1"/>
  <c r="H234" i="7" s="1"/>
  <c r="H235" i="7" s="1"/>
  <c r="H236" i="7" s="1"/>
  <c r="H237" i="7" s="1"/>
  <c r="H238" i="7" s="1"/>
  <c r="H239" i="7" s="1"/>
  <c r="H240" i="7" s="1"/>
  <c r="H241" i="7" s="1"/>
  <c r="H242" i="7" s="1"/>
  <c r="H243" i="7" s="1"/>
  <c r="H244" i="7" s="1"/>
  <c r="H245" i="7" s="1"/>
  <c r="H246" i="7" s="1"/>
  <c r="H247" i="7" s="1"/>
  <c r="H248" i="7" s="1"/>
  <c r="E11" i="7"/>
  <c r="C11" i="7" s="1"/>
  <c r="B38" i="7"/>
  <c r="E38" i="7" s="1"/>
  <c r="C38" i="7" s="1"/>
  <c r="B169" i="7"/>
  <c r="A189" i="7"/>
  <c r="E189" i="7" s="1"/>
  <c r="C189" i="7" s="1"/>
  <c r="A192" i="7"/>
  <c r="E192" i="7" s="1"/>
  <c r="C192" i="7" s="1"/>
  <c r="A30" i="7"/>
  <c r="E30" i="7" s="1"/>
  <c r="C30" i="7" s="1"/>
  <c r="B135" i="7"/>
  <c r="E135" i="7" s="1"/>
  <c r="C135" i="7" s="1"/>
  <c r="A216" i="7"/>
  <c r="E216" i="7" s="1"/>
  <c r="C216" i="7" s="1"/>
  <c r="A219" i="7"/>
  <c r="E219" i="7" s="1"/>
  <c r="C219" i="7" s="1"/>
  <c r="B222" i="7"/>
  <c r="E222" i="7" s="1"/>
  <c r="C222" i="7" s="1"/>
  <c r="A225" i="7"/>
  <c r="E225" i="7" s="1"/>
  <c r="C225" i="7" s="1"/>
  <c r="A228" i="7"/>
  <c r="E228" i="7" s="1"/>
  <c r="C228" i="7" s="1"/>
  <c r="B9" i="6"/>
  <c r="H55" i="12"/>
  <c r="H56" i="12" s="1"/>
  <c r="H57" i="12" s="1"/>
  <c r="H58" i="12" s="1"/>
  <c r="H59" i="12" s="1"/>
  <c r="H60" i="12" s="1"/>
  <c r="H61" i="12" s="1"/>
  <c r="H62" i="12" s="1"/>
  <c r="H63" i="12" s="1"/>
  <c r="H64" i="12" s="1"/>
  <c r="H65" i="12" s="1"/>
  <c r="H66" i="12" s="1"/>
  <c r="H67" i="12" s="1"/>
  <c r="H68" i="12" s="1"/>
  <c r="H69" i="12" s="1"/>
  <c r="H70" i="12" s="1"/>
  <c r="H71" i="12" s="1"/>
  <c r="H72" i="12" s="1"/>
  <c r="H73" i="12" s="1"/>
  <c r="H74" i="12" s="1"/>
  <c r="H75" i="12" s="1"/>
  <c r="H76" i="12" s="1"/>
  <c r="H77" i="12" s="1"/>
  <c r="H78" i="12" s="1"/>
  <c r="H79" i="12" s="1"/>
  <c r="H80" i="12" s="1"/>
  <c r="H81" i="12" s="1"/>
  <c r="H82" i="12" s="1"/>
  <c r="H83" i="12" s="1"/>
  <c r="H84" i="12" s="1"/>
  <c r="H85" i="12" s="1"/>
  <c r="H86" i="12" s="1"/>
  <c r="H87" i="12" s="1"/>
  <c r="H88" i="12" s="1"/>
  <c r="H89" i="12" s="1"/>
  <c r="H90" i="12" s="1"/>
  <c r="H91" i="12" s="1"/>
  <c r="H92" i="12" s="1"/>
  <c r="H93" i="12" s="1"/>
  <c r="H94" i="12" s="1"/>
  <c r="H95" i="12" s="1"/>
  <c r="H96" i="12" s="1"/>
  <c r="H97" i="12" s="1"/>
  <c r="H98" i="12" s="1"/>
  <c r="H99" i="12" s="1"/>
  <c r="H100" i="12" s="1"/>
  <c r="H101" i="12" s="1"/>
  <c r="H102" i="12" s="1"/>
  <c r="B81" i="12"/>
  <c r="E81" i="12" s="1"/>
  <c r="C81" i="12" s="1"/>
  <c r="A18" i="12"/>
  <c r="E18" i="12" s="1"/>
  <c r="C18" i="12" s="1"/>
  <c r="A22" i="12"/>
  <c r="E22" i="12" s="1"/>
  <c r="C22" i="12" s="1"/>
  <c r="B30" i="12"/>
  <c r="E30" i="12" s="1"/>
  <c r="C30" i="12" s="1"/>
  <c r="A51" i="12"/>
  <c r="E51" i="12" s="1"/>
  <c r="C51" i="12" s="1"/>
  <c r="B14" i="12"/>
  <c r="E14" i="12" s="1"/>
  <c r="C14" i="12" s="1"/>
  <c r="B165" i="11"/>
  <c r="E165" i="11" s="1"/>
  <c r="C165" i="11" s="1"/>
  <c r="E179" i="11"/>
  <c r="C179" i="11" s="1"/>
  <c r="E150" i="11"/>
  <c r="C150" i="11" s="1"/>
  <c r="A126" i="11"/>
  <c r="E126" i="11" s="1"/>
  <c r="C126" i="11" s="1"/>
  <c r="D127" i="11"/>
  <c r="A127" i="11" s="1"/>
  <c r="A141" i="11"/>
  <c r="B16" i="11"/>
  <c r="E16" i="11" s="1"/>
  <c r="C16" i="11" s="1"/>
  <c r="B141" i="11"/>
  <c r="B145" i="11"/>
  <c r="E147" i="11"/>
  <c r="C147" i="11" s="1"/>
  <c r="E163" i="11"/>
  <c r="C163" i="11" s="1"/>
  <c r="B35" i="9"/>
  <c r="A35" i="9"/>
  <c r="D16" i="9"/>
  <c r="B16" i="9" s="1"/>
  <c r="H29" i="9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H94" i="9" s="1"/>
  <c r="H95" i="9" s="1"/>
  <c r="H96" i="9" s="1"/>
  <c r="H97" i="9" s="1"/>
  <c r="H98" i="9" s="1"/>
  <c r="H99" i="9" s="1"/>
  <c r="H100" i="9" s="1"/>
  <c r="H101" i="9" s="1"/>
  <c r="H102" i="9" s="1"/>
  <c r="H103" i="9" s="1"/>
  <c r="H104" i="9" s="1"/>
  <c r="H105" i="9" s="1"/>
  <c r="H106" i="9" s="1"/>
  <c r="H107" i="9" s="1"/>
  <c r="H108" i="9" s="1"/>
  <c r="H109" i="9" s="1"/>
  <c r="H110" i="9" s="1"/>
  <c r="H111" i="9" s="1"/>
  <c r="H112" i="9" s="1"/>
  <c r="H113" i="9" s="1"/>
  <c r="H114" i="9" s="1"/>
  <c r="H115" i="9" s="1"/>
  <c r="H116" i="9" s="1"/>
  <c r="A34" i="9"/>
  <c r="A180" i="9"/>
  <c r="E180" i="9" s="1"/>
  <c r="C180" i="9" s="1"/>
  <c r="A188" i="9"/>
  <c r="E188" i="9" s="1"/>
  <c r="C188" i="9" s="1"/>
  <c r="A28" i="9"/>
  <c r="E28" i="9" s="1"/>
  <c r="C28" i="9" s="1"/>
  <c r="D29" i="9"/>
  <c r="B34" i="9"/>
  <c r="B38" i="9"/>
  <c r="E38" i="9" s="1"/>
  <c r="C38" i="9" s="1"/>
  <c r="D39" i="9"/>
  <c r="B42" i="9"/>
  <c r="E42" i="9" s="1"/>
  <c r="C42" i="9" s="1"/>
  <c r="D43" i="9"/>
  <c r="A43" i="9" s="1"/>
  <c r="B22" i="9"/>
  <c r="A22" i="9"/>
  <c r="B90" i="9"/>
  <c r="D49" i="11"/>
  <c r="A49" i="11" s="1"/>
  <c r="A48" i="11"/>
  <c r="B148" i="11"/>
  <c r="A148" i="11"/>
  <c r="A47" i="12"/>
  <c r="B47" i="12"/>
  <c r="E169" i="7"/>
  <c r="C169" i="7" s="1"/>
  <c r="B59" i="9"/>
  <c r="A106" i="9"/>
  <c r="B106" i="9"/>
  <c r="B40" i="12"/>
  <c r="A40" i="12"/>
  <c r="E43" i="7"/>
  <c r="C43" i="7" s="1"/>
  <c r="A81" i="7"/>
  <c r="E81" i="7" s="1"/>
  <c r="C81" i="7" s="1"/>
  <c r="D84" i="7"/>
  <c r="B174" i="7"/>
  <c r="A174" i="7"/>
  <c r="B213" i="7"/>
  <c r="A213" i="7"/>
  <c r="A16" i="9"/>
  <c r="D32" i="9"/>
  <c r="A32" i="9" s="1"/>
  <c r="B190" i="9"/>
  <c r="A190" i="9"/>
  <c r="D124" i="11"/>
  <c r="B124" i="11" s="1"/>
  <c r="B67" i="12"/>
  <c r="A67" i="12"/>
  <c r="H46" i="13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B33" i="7"/>
  <c r="D36" i="7"/>
  <c r="A33" i="7"/>
  <c r="D56" i="9"/>
  <c r="B56" i="9" s="1"/>
  <c r="B55" i="9"/>
  <c r="A55" i="9"/>
  <c r="A20" i="12"/>
  <c r="B20" i="12"/>
  <c r="B40" i="7"/>
  <c r="A40" i="7"/>
  <c r="B167" i="11"/>
  <c r="A167" i="11"/>
  <c r="A69" i="12"/>
  <c r="B69" i="12"/>
  <c r="A76" i="7"/>
  <c r="E76" i="7" s="1"/>
  <c r="C76" i="7" s="1"/>
  <c r="B156" i="7"/>
  <c r="A156" i="7"/>
  <c r="B186" i="7"/>
  <c r="A186" i="7"/>
  <c r="B195" i="7"/>
  <c r="A195" i="7"/>
  <c r="B93" i="8"/>
  <c r="E93" i="8" s="1"/>
  <c r="C93" i="8" s="1"/>
  <c r="B96" i="8"/>
  <c r="E96" i="8" s="1"/>
  <c r="C96" i="8" s="1"/>
  <c r="B99" i="8"/>
  <c r="E99" i="8" s="1"/>
  <c r="C99" i="8" s="1"/>
  <c r="B31" i="9"/>
  <c r="E31" i="9" s="1"/>
  <c r="C31" i="9" s="1"/>
  <c r="A49" i="9"/>
  <c r="E49" i="9" s="1"/>
  <c r="C49" i="9" s="1"/>
  <c r="D50" i="9"/>
  <c r="A50" i="9" s="1"/>
  <c r="H125" i="9"/>
  <c r="H126" i="9" s="1"/>
  <c r="H127" i="9" s="1"/>
  <c r="H128" i="9" s="1"/>
  <c r="H129" i="9" s="1"/>
  <c r="H130" i="9" s="1"/>
  <c r="H131" i="9" s="1"/>
  <c r="H132" i="9" s="1"/>
  <c r="H133" i="9" s="1"/>
  <c r="H134" i="9" s="1"/>
  <c r="H135" i="9" s="1"/>
  <c r="H136" i="9" s="1"/>
  <c r="H137" i="9" s="1"/>
  <c r="H138" i="9" s="1"/>
  <c r="H139" i="9" s="1"/>
  <c r="H140" i="9" s="1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H156" i="9" s="1"/>
  <c r="H157" i="9" s="1"/>
  <c r="H158" i="9" s="1"/>
  <c r="H159" i="9" s="1"/>
  <c r="H160" i="9" s="1"/>
  <c r="H161" i="9" s="1"/>
  <c r="H162" i="9" s="1"/>
  <c r="H163" i="9" s="1"/>
  <c r="H164" i="9" s="1"/>
  <c r="H165" i="9" s="1"/>
  <c r="H166" i="9" s="1"/>
  <c r="H167" i="9" s="1"/>
  <c r="H168" i="9" s="1"/>
  <c r="H169" i="9" s="1"/>
  <c r="H170" i="9" s="1"/>
  <c r="H171" i="9" s="1"/>
  <c r="H172" i="9" s="1"/>
  <c r="H173" i="9" s="1"/>
  <c r="H174" i="9" s="1"/>
  <c r="H175" i="9" s="1"/>
  <c r="H176" i="9" s="1"/>
  <c r="H177" i="9" s="1"/>
  <c r="H178" i="9" s="1"/>
  <c r="H179" i="9" s="1"/>
  <c r="H180" i="9" s="1"/>
  <c r="H181" i="9" s="1"/>
  <c r="H182" i="9" s="1"/>
  <c r="H183" i="9" s="1"/>
  <c r="H184" i="9" s="1"/>
  <c r="H185" i="9" s="1"/>
  <c r="H186" i="9" s="1"/>
  <c r="H187" i="9" s="1"/>
  <c r="H188" i="9" s="1"/>
  <c r="H189" i="9" s="1"/>
  <c r="H190" i="9" s="1"/>
  <c r="H191" i="9" s="1"/>
  <c r="H192" i="9" s="1"/>
  <c r="H193" i="9" s="1"/>
  <c r="H194" i="9" s="1"/>
  <c r="H195" i="9" s="1"/>
  <c r="H196" i="9" s="1"/>
  <c r="H197" i="9" s="1"/>
  <c r="H198" i="9" s="1"/>
  <c r="H199" i="9" s="1"/>
  <c r="H200" i="9" s="1"/>
  <c r="H201" i="9" s="1"/>
  <c r="H202" i="9" s="1"/>
  <c r="H203" i="9" s="1"/>
  <c r="H205" i="9" s="1"/>
  <c r="H206" i="9" s="1"/>
  <c r="H207" i="9" s="1"/>
  <c r="D125" i="9"/>
  <c r="A125" i="9" s="1"/>
  <c r="A124" i="9"/>
  <c r="E124" i="9" s="1"/>
  <c r="C124" i="9" s="1"/>
  <c r="E154" i="9"/>
  <c r="C154" i="9" s="1"/>
  <c r="B176" i="9"/>
  <c r="A176" i="9"/>
  <c r="B186" i="9"/>
  <c r="E186" i="9" s="1"/>
  <c r="C186" i="9" s="1"/>
  <c r="B114" i="11"/>
  <c r="E121" i="11"/>
  <c r="C121" i="11" s="1"/>
  <c r="D133" i="11"/>
  <c r="A133" i="11" s="1"/>
  <c r="B132" i="11"/>
  <c r="A132" i="11"/>
  <c r="E144" i="11"/>
  <c r="C144" i="11" s="1"/>
  <c r="D109" i="9"/>
  <c r="B109" i="9" s="1"/>
  <c r="E156" i="11"/>
  <c r="C156" i="11" s="1"/>
  <c r="B182" i="11"/>
  <c r="D185" i="11"/>
  <c r="A182" i="11"/>
  <c r="E8" i="6"/>
  <c r="C8" i="6" s="1"/>
  <c r="E204" i="7"/>
  <c r="C204" i="7" s="1"/>
  <c r="E240" i="7"/>
  <c r="C240" i="7" s="1"/>
  <c r="E13" i="9"/>
  <c r="C13" i="9" s="1"/>
  <c r="A155" i="9"/>
  <c r="E10" i="11"/>
  <c r="C10" i="11" s="1"/>
  <c r="A75" i="10"/>
  <c r="B101" i="10"/>
  <c r="E101" i="10" s="1"/>
  <c r="C101" i="10" s="1"/>
  <c r="B60" i="10"/>
  <c r="E60" i="10" s="1"/>
  <c r="C60" i="10" s="1"/>
  <c r="E22" i="8"/>
  <c r="C22" i="8" s="1"/>
  <c r="A129" i="8"/>
  <c r="E129" i="8" s="1"/>
  <c r="C129" i="8" s="1"/>
  <c r="D11" i="8"/>
  <c r="B11" i="8" s="1"/>
  <c r="B13" i="8"/>
  <c r="E13" i="8" s="1"/>
  <c r="C13" i="8" s="1"/>
  <c r="A81" i="8"/>
  <c r="E81" i="8" s="1"/>
  <c r="C81" i="8" s="1"/>
  <c r="A105" i="8"/>
  <c r="E105" i="8" s="1"/>
  <c r="C105" i="8" s="1"/>
  <c r="D107" i="8"/>
  <c r="B107" i="8" s="1"/>
  <c r="A34" i="8"/>
  <c r="E34" i="8" s="1"/>
  <c r="C34" i="8" s="1"/>
  <c r="A37" i="8"/>
  <c r="E37" i="8" s="1"/>
  <c r="C37" i="8" s="1"/>
  <c r="B40" i="8"/>
  <c r="E40" i="8" s="1"/>
  <c r="C40" i="8" s="1"/>
  <c r="B25" i="13"/>
  <c r="E25" i="13" s="1"/>
  <c r="C25" i="13" s="1"/>
  <c r="B23" i="13"/>
  <c r="E23" i="13" s="1"/>
  <c r="C23" i="13" s="1"/>
  <c r="B33" i="13"/>
  <c r="E33" i="13" s="1"/>
  <c r="C33" i="13" s="1"/>
  <c r="D49" i="10"/>
  <c r="A49" i="10" s="1"/>
  <c r="A36" i="10"/>
  <c r="B30" i="10"/>
  <c r="E30" i="10" s="1"/>
  <c r="C30" i="10" s="1"/>
  <c r="B36" i="10"/>
  <c r="A37" i="10"/>
  <c r="E37" i="10" s="1"/>
  <c r="C37" i="10" s="1"/>
  <c r="B33" i="10"/>
  <c r="B27" i="10"/>
  <c r="D79" i="10"/>
  <c r="B79" i="10" s="1"/>
  <c r="B8" i="10"/>
  <c r="E8" i="10" s="1"/>
  <c r="C8" i="10" s="1"/>
  <c r="E90" i="10"/>
  <c r="C90" i="10" s="1"/>
  <c r="B51" i="10"/>
  <c r="G8" i="10"/>
  <c r="H8" i="10" s="1"/>
  <c r="H9" i="10" s="1"/>
  <c r="H13" i="10"/>
  <c r="H14" i="10" s="1"/>
  <c r="H15" i="10" s="1"/>
  <c r="B48" i="10"/>
  <c r="E48" i="10" s="1"/>
  <c r="C48" i="10" s="1"/>
  <c r="A12" i="10"/>
  <c r="E12" i="10" s="1"/>
  <c r="C12" i="10" s="1"/>
  <c r="D40" i="10"/>
  <c r="B40" i="10" s="1"/>
  <c r="D61" i="10"/>
  <c r="A61" i="10" s="1"/>
  <c r="A109" i="10"/>
  <c r="E109" i="10" s="1"/>
  <c r="C109" i="10" s="1"/>
  <c r="A42" i="10"/>
  <c r="E42" i="10" s="1"/>
  <c r="C42" i="10" s="1"/>
  <c r="B105" i="10"/>
  <c r="E105" i="10" s="1"/>
  <c r="C105" i="10" s="1"/>
  <c r="A27" i="10"/>
  <c r="A33" i="10"/>
  <c r="B111" i="10"/>
  <c r="E111" i="10" s="1"/>
  <c r="C111" i="10" s="1"/>
  <c r="B39" i="10"/>
  <c r="E39" i="10" s="1"/>
  <c r="C39" i="10" s="1"/>
  <c r="E103" i="10"/>
  <c r="C103" i="10" s="1"/>
  <c r="B34" i="10"/>
  <c r="A34" i="10"/>
  <c r="B15" i="10"/>
  <c r="E15" i="10" s="1"/>
  <c r="C15" i="10" s="1"/>
  <c r="B69" i="10"/>
  <c r="E69" i="10" s="1"/>
  <c r="C69" i="10" s="1"/>
  <c r="D76" i="10"/>
  <c r="A76" i="10" s="1"/>
  <c r="A23" i="10"/>
  <c r="B23" i="10"/>
  <c r="E95" i="10"/>
  <c r="C95" i="10" s="1"/>
  <c r="B78" i="10"/>
  <c r="E78" i="10" s="1"/>
  <c r="C78" i="10" s="1"/>
  <c r="A24" i="10"/>
  <c r="E24" i="10" s="1"/>
  <c r="C24" i="10" s="1"/>
  <c r="A115" i="10"/>
  <c r="E115" i="10" s="1"/>
  <c r="C115" i="10" s="1"/>
  <c r="E29" i="13"/>
  <c r="C29" i="13" s="1"/>
  <c r="A17" i="13"/>
  <c r="E17" i="13" s="1"/>
  <c r="C17" i="13" s="1"/>
  <c r="A21" i="13"/>
  <c r="E21" i="13" s="1"/>
  <c r="C21" i="13" s="1"/>
  <c r="A35" i="13"/>
  <c r="E35" i="13" s="1"/>
  <c r="C35" i="13" s="1"/>
  <c r="B10" i="13"/>
  <c r="E10" i="13" s="1"/>
  <c r="C10" i="13" s="1"/>
  <c r="B19" i="13"/>
  <c r="E19" i="13" s="1"/>
  <c r="C19" i="13" s="1"/>
  <c r="A37" i="13"/>
  <c r="E37" i="13" s="1"/>
  <c r="C37" i="13" s="1"/>
  <c r="E7" i="12"/>
  <c r="C7" i="12" s="1"/>
  <c r="B43" i="12"/>
  <c r="E43" i="12" s="1"/>
  <c r="C43" i="12" s="1"/>
  <c r="B74" i="12"/>
  <c r="E74" i="12" s="1"/>
  <c r="C74" i="12" s="1"/>
  <c r="A194" i="9"/>
  <c r="E194" i="9" s="1"/>
  <c r="C194" i="9" s="1"/>
  <c r="B65" i="11"/>
  <c r="B103" i="11"/>
  <c r="A55" i="11"/>
  <c r="D44" i="11"/>
  <c r="B44" i="11" s="1"/>
  <c r="B48" i="11"/>
  <c r="D69" i="11"/>
  <c r="A69" i="11" s="1"/>
  <c r="H10" i="11"/>
  <c r="A64" i="11"/>
  <c r="A114" i="11"/>
  <c r="E154" i="11"/>
  <c r="C154" i="11" s="1"/>
  <c r="A104" i="11"/>
  <c r="B24" i="11"/>
  <c r="E24" i="11" s="1"/>
  <c r="C24" i="11" s="1"/>
  <c r="D172" i="11"/>
  <c r="B172" i="11" s="1"/>
  <c r="A68" i="11"/>
  <c r="E68" i="11" s="1"/>
  <c r="C68" i="11" s="1"/>
  <c r="D106" i="11"/>
  <c r="D130" i="11"/>
  <c r="A103" i="11"/>
  <c r="A123" i="11"/>
  <c r="E123" i="11" s="1"/>
  <c r="C123" i="11" s="1"/>
  <c r="B108" i="11"/>
  <c r="A243" i="7"/>
  <c r="E243" i="7" s="1"/>
  <c r="C243" i="7" s="1"/>
  <c r="A138" i="7"/>
  <c r="B138" i="7"/>
  <c r="K26" i="3"/>
  <c r="J26" i="3" s="1"/>
  <c r="G26" i="3"/>
  <c r="C33" i="3"/>
  <c r="C34" i="3" s="1"/>
  <c r="C35" i="3" s="1"/>
  <c r="K30" i="3"/>
  <c r="J30" i="3" s="1"/>
  <c r="E30" i="3"/>
  <c r="D25" i="6"/>
  <c r="B23" i="6"/>
  <c r="A23" i="6"/>
  <c r="E24" i="7"/>
  <c r="C24" i="7" s="1"/>
  <c r="D10" i="6"/>
  <c r="A21" i="6"/>
  <c r="B132" i="7"/>
  <c r="A132" i="7"/>
  <c r="B19" i="8"/>
  <c r="A19" i="8"/>
  <c r="B21" i="6"/>
  <c r="E10" i="8"/>
  <c r="B126" i="7"/>
  <c r="E126" i="7" s="1"/>
  <c r="C126" i="7" s="1"/>
  <c r="A57" i="8"/>
  <c r="E120" i="7"/>
  <c r="C120" i="7" s="1"/>
  <c r="B141" i="7"/>
  <c r="E141" i="7" s="1"/>
  <c r="C141" i="7" s="1"/>
  <c r="D147" i="7"/>
  <c r="A144" i="7"/>
  <c r="E144" i="7" s="1"/>
  <c r="C144" i="7" s="1"/>
  <c r="A48" i="7"/>
  <c r="D51" i="7"/>
  <c r="B48" i="7"/>
  <c r="B46" i="7"/>
  <c r="E46" i="7" s="1"/>
  <c r="C46" i="7" s="1"/>
  <c r="A31" i="8"/>
  <c r="A78" i="8"/>
  <c r="E78" i="8" s="1"/>
  <c r="C78" i="8" s="1"/>
  <c r="A90" i="8"/>
  <c r="E90" i="8" s="1"/>
  <c r="C90" i="8" s="1"/>
  <c r="A102" i="8"/>
  <c r="E102" i="8" s="1"/>
  <c r="C102" i="8" s="1"/>
  <c r="B61" i="9"/>
  <c r="E61" i="9" s="1"/>
  <c r="C61" i="9" s="1"/>
  <c r="B31" i="8"/>
  <c r="B172" i="9"/>
  <c r="A172" i="9"/>
  <c r="A54" i="8"/>
  <c r="E54" i="8" s="1"/>
  <c r="C54" i="8" s="1"/>
  <c r="E7" i="10"/>
  <c r="D62" i="9"/>
  <c r="B85" i="10"/>
  <c r="A85" i="10"/>
  <c r="B52" i="10"/>
  <c r="D54" i="10"/>
  <c r="A52" i="10"/>
  <c r="A120" i="8"/>
  <c r="E120" i="8" s="1"/>
  <c r="C120" i="8" s="1"/>
  <c r="A126" i="8"/>
  <c r="E126" i="8" s="1"/>
  <c r="C126" i="8" s="1"/>
  <c r="A132" i="8"/>
  <c r="E132" i="8" s="1"/>
  <c r="C132" i="8" s="1"/>
  <c r="A52" i="9"/>
  <c r="E52" i="9" s="1"/>
  <c r="C52" i="9" s="1"/>
  <c r="D53" i="9"/>
  <c r="B20" i="10"/>
  <c r="A20" i="10"/>
  <c r="D21" i="10"/>
  <c r="A46" i="9"/>
  <c r="E46" i="9" s="1"/>
  <c r="C46" i="9" s="1"/>
  <c r="D47" i="9"/>
  <c r="B157" i="9"/>
  <c r="A157" i="9"/>
  <c r="D158" i="9"/>
  <c r="G16" i="10"/>
  <c r="A15" i="8"/>
  <c r="E15" i="8" s="1"/>
  <c r="C15" i="8" s="1"/>
  <c r="A25" i="8"/>
  <c r="E25" i="8" s="1"/>
  <c r="C25" i="8" s="1"/>
  <c r="A50" i="8"/>
  <c r="E50" i="8" s="1"/>
  <c r="C50" i="8" s="1"/>
  <c r="E20" i="9"/>
  <c r="C20" i="9" s="1"/>
  <c r="E14" i="9"/>
  <c r="C14" i="9" s="1"/>
  <c r="E26" i="9"/>
  <c r="C26" i="9" s="1"/>
  <c r="A178" i="9"/>
  <c r="E178" i="9" s="1"/>
  <c r="C178" i="9" s="1"/>
  <c r="A28" i="10"/>
  <c r="E28" i="10" s="1"/>
  <c r="C28" i="10" s="1"/>
  <c r="B45" i="10"/>
  <c r="E45" i="10" s="1"/>
  <c r="C45" i="10" s="1"/>
  <c r="D64" i="10"/>
  <c r="B97" i="10"/>
  <c r="A97" i="10"/>
  <c r="B28" i="11"/>
  <c r="A28" i="11"/>
  <c r="D39" i="11"/>
  <c r="B38" i="11"/>
  <c r="A38" i="11"/>
  <c r="D16" i="10"/>
  <c r="A51" i="10"/>
  <c r="G11" i="11"/>
  <c r="A29" i="11"/>
  <c r="B59" i="11"/>
  <c r="A59" i="11"/>
  <c r="D60" i="11"/>
  <c r="B113" i="10"/>
  <c r="A113" i="10"/>
  <c r="B11" i="11"/>
  <c r="A11" i="11"/>
  <c r="A33" i="11"/>
  <c r="B33" i="11"/>
  <c r="B135" i="11"/>
  <c r="D136" i="11"/>
  <c r="A135" i="11"/>
  <c r="B107" i="10"/>
  <c r="A107" i="10"/>
  <c r="B170" i="9"/>
  <c r="E170" i="9" s="1"/>
  <c r="C170" i="9" s="1"/>
  <c r="D13" i="10"/>
  <c r="D31" i="10"/>
  <c r="D43" i="10"/>
  <c r="B57" i="10"/>
  <c r="E57" i="10" s="1"/>
  <c r="C57" i="10" s="1"/>
  <c r="D58" i="10"/>
  <c r="D46" i="10"/>
  <c r="A63" i="10"/>
  <c r="E63" i="10" s="1"/>
  <c r="C63" i="10" s="1"/>
  <c r="A34" i="11"/>
  <c r="B115" i="11"/>
  <c r="A115" i="11"/>
  <c r="A66" i="10"/>
  <c r="E66" i="10" s="1"/>
  <c r="C66" i="10" s="1"/>
  <c r="D67" i="10"/>
  <c r="B84" i="10"/>
  <c r="A84" i="10"/>
  <c r="B157" i="11"/>
  <c r="A157" i="11"/>
  <c r="B75" i="10"/>
  <c r="B99" i="10"/>
  <c r="A99" i="10"/>
  <c r="B142" i="11"/>
  <c r="A142" i="11"/>
  <c r="D139" i="11"/>
  <c r="B138" i="11"/>
  <c r="E138" i="11" s="1"/>
  <c r="B122" i="11"/>
  <c r="A53" i="12"/>
  <c r="E53" i="12" s="1"/>
  <c r="C53" i="12" s="1"/>
  <c r="B65" i="12"/>
  <c r="E65" i="12" s="1"/>
  <c r="C65" i="12" s="1"/>
  <c r="A113" i="11"/>
  <c r="B83" i="12"/>
  <c r="A83" i="12"/>
  <c r="A79" i="12"/>
  <c r="E79" i="12" s="1"/>
  <c r="C79" i="12" s="1"/>
  <c r="D70" i="10"/>
  <c r="E160" i="11"/>
  <c r="C160" i="11" s="1"/>
  <c r="A24" i="12"/>
  <c r="E24" i="12" s="1"/>
  <c r="C24" i="12" s="1"/>
  <c r="D111" i="11"/>
  <c r="A63" i="12"/>
  <c r="B63" i="12"/>
  <c r="A72" i="12"/>
  <c r="E72" i="12" s="1"/>
  <c r="C72" i="12" s="1"/>
  <c r="D17" i="11"/>
  <c r="D25" i="11"/>
  <c r="A54" i="11"/>
  <c r="B16" i="12"/>
  <c r="A16" i="12"/>
  <c r="B54" i="11"/>
  <c r="A110" i="11"/>
  <c r="E110" i="11" s="1"/>
  <c r="C110" i="11" s="1"/>
  <c r="A151" i="11"/>
  <c r="B26" i="12"/>
  <c r="A26" i="12"/>
  <c r="B77" i="12"/>
  <c r="A77" i="12"/>
  <c r="B15" i="13"/>
  <c r="A15" i="13"/>
  <c r="A129" i="11"/>
  <c r="E129" i="11" s="1"/>
  <c r="C129" i="11" s="1"/>
  <c r="B49" i="12"/>
  <c r="A49" i="12"/>
  <c r="B45" i="12"/>
  <c r="E45" i="12" s="1"/>
  <c r="C45" i="12" s="1"/>
  <c r="B31" i="13"/>
  <c r="A31" i="13"/>
  <c r="B27" i="13"/>
  <c r="A27" i="13"/>
  <c r="A40" i="13"/>
  <c r="E40" i="13" s="1"/>
  <c r="C40" i="13" s="1"/>
  <c r="B57" i="8" l="1"/>
  <c r="A124" i="11"/>
  <c r="D92" i="9"/>
  <c r="D93" i="9" s="1"/>
  <c r="B93" i="9" s="1"/>
  <c r="D127" i="9"/>
  <c r="B127" i="9" s="1"/>
  <c r="E55" i="9"/>
  <c r="C55" i="9" s="1"/>
  <c r="B32" i="9"/>
  <c r="B127" i="11"/>
  <c r="E114" i="11"/>
  <c r="C114" i="11" s="1"/>
  <c r="E64" i="11"/>
  <c r="C64" i="11" s="1"/>
  <c r="B133" i="11"/>
  <c r="D81" i="10"/>
  <c r="D82" i="10" s="1"/>
  <c r="E33" i="10"/>
  <c r="C33" i="10" s="1"/>
  <c r="B61" i="10"/>
  <c r="E61" i="10" s="1"/>
  <c r="C61" i="10" s="1"/>
  <c r="B43" i="9"/>
  <c r="A99" i="9"/>
  <c r="B99" i="9"/>
  <c r="E58" i="9"/>
  <c r="C58" i="9" s="1"/>
  <c r="E34" i="9"/>
  <c r="C34" i="9" s="1"/>
  <c r="A109" i="9"/>
  <c r="D111" i="9"/>
  <c r="A111" i="9" s="1"/>
  <c r="E172" i="9"/>
  <c r="C172" i="9" s="1"/>
  <c r="B125" i="9"/>
  <c r="E22" i="9"/>
  <c r="C22" i="9" s="1"/>
  <c r="A107" i="8"/>
  <c r="E107" i="8" s="1"/>
  <c r="C107" i="8" s="1"/>
  <c r="E186" i="7"/>
  <c r="C186" i="7" s="1"/>
  <c r="E33" i="7"/>
  <c r="C33" i="7" s="1"/>
  <c r="E40" i="7"/>
  <c r="C40" i="7" s="1"/>
  <c r="E67" i="12"/>
  <c r="C67" i="12" s="1"/>
  <c r="E40" i="12"/>
  <c r="C40" i="12" s="1"/>
  <c r="E16" i="12"/>
  <c r="C16" i="12" s="1"/>
  <c r="E47" i="12"/>
  <c r="C47" i="12" s="1"/>
  <c r="E77" i="12"/>
  <c r="C77" i="12" s="1"/>
  <c r="E20" i="12"/>
  <c r="C20" i="12" s="1"/>
  <c r="E182" i="11"/>
  <c r="C182" i="11" s="1"/>
  <c r="E167" i="11"/>
  <c r="C167" i="11" s="1"/>
  <c r="E103" i="11"/>
  <c r="C103" i="11" s="1"/>
  <c r="E141" i="11"/>
  <c r="C141" i="11" s="1"/>
  <c r="A44" i="11"/>
  <c r="E54" i="11"/>
  <c r="C54" i="11" s="1"/>
  <c r="H11" i="1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H54" i="11" s="1"/>
  <c r="H55" i="11" s="1"/>
  <c r="H56" i="11" s="1"/>
  <c r="H57" i="11" s="1"/>
  <c r="H58" i="11" s="1"/>
  <c r="H59" i="11" s="1"/>
  <c r="H60" i="11" s="1"/>
  <c r="H61" i="11" s="1"/>
  <c r="H62" i="11" s="1"/>
  <c r="H63" i="11" s="1"/>
  <c r="H64" i="11" s="1"/>
  <c r="H65" i="11" s="1"/>
  <c r="H66" i="11" s="1"/>
  <c r="H67" i="11" s="1"/>
  <c r="H68" i="11" s="1"/>
  <c r="H69" i="11" s="1"/>
  <c r="H70" i="11" s="1"/>
  <c r="H71" i="11" s="1"/>
  <c r="H72" i="11" s="1"/>
  <c r="H73" i="11" s="1"/>
  <c r="H74" i="11" s="1"/>
  <c r="H75" i="11" s="1"/>
  <c r="H76" i="11" s="1"/>
  <c r="H77" i="11" s="1"/>
  <c r="H78" i="11" s="1"/>
  <c r="H79" i="11" s="1"/>
  <c r="H80" i="11" s="1"/>
  <c r="H81" i="11" s="1"/>
  <c r="H82" i="11" s="1"/>
  <c r="H83" i="11" s="1"/>
  <c r="H84" i="11" s="1"/>
  <c r="H85" i="11" s="1"/>
  <c r="H86" i="11" s="1"/>
  <c r="H87" i="11" s="1"/>
  <c r="H88" i="11" s="1"/>
  <c r="H89" i="11" s="1"/>
  <c r="H90" i="11" s="1"/>
  <c r="H91" i="11" s="1"/>
  <c r="H92" i="11" s="1"/>
  <c r="H93" i="11" s="1"/>
  <c r="H94" i="11" s="1"/>
  <c r="H95" i="11" s="1"/>
  <c r="H96" i="11" s="1"/>
  <c r="H97" i="11" s="1"/>
  <c r="H98" i="11" s="1"/>
  <c r="H99" i="11" s="1"/>
  <c r="H100" i="11" s="1"/>
  <c r="H101" i="11" s="1"/>
  <c r="H102" i="11" s="1"/>
  <c r="H103" i="11" s="1"/>
  <c r="H104" i="11" s="1"/>
  <c r="H105" i="11" s="1"/>
  <c r="H106" i="11" s="1"/>
  <c r="H107" i="11" s="1"/>
  <c r="H108" i="11" s="1"/>
  <c r="H109" i="11" s="1"/>
  <c r="H110" i="11" s="1"/>
  <c r="H111" i="11" s="1"/>
  <c r="H112" i="11" s="1"/>
  <c r="H113" i="11" s="1"/>
  <c r="H114" i="11" s="1"/>
  <c r="H115" i="11" s="1"/>
  <c r="H116" i="11" s="1"/>
  <c r="H117" i="11" s="1"/>
  <c r="E27" i="10"/>
  <c r="C27" i="10" s="1"/>
  <c r="E51" i="10"/>
  <c r="C51" i="10" s="1"/>
  <c r="A79" i="10"/>
  <c r="E79" i="10" s="1"/>
  <c r="C79" i="10" s="1"/>
  <c r="B76" i="10"/>
  <c r="E76" i="10" s="1"/>
  <c r="C76" i="10" s="1"/>
  <c r="A56" i="9"/>
  <c r="A29" i="9"/>
  <c r="B29" i="9"/>
  <c r="D18" i="9"/>
  <c r="A39" i="9"/>
  <c r="B39" i="9"/>
  <c r="E21" i="6"/>
  <c r="C21" i="6" s="1"/>
  <c r="B50" i="9"/>
  <c r="B185" i="11"/>
  <c r="D188" i="11"/>
  <c r="A185" i="11"/>
  <c r="E69" i="12"/>
  <c r="C69" i="12" s="1"/>
  <c r="E16" i="9"/>
  <c r="C16" i="9" s="1"/>
  <c r="E174" i="7"/>
  <c r="C174" i="7" s="1"/>
  <c r="E26" i="12"/>
  <c r="C26" i="12" s="1"/>
  <c r="E59" i="11"/>
  <c r="C59" i="11" s="1"/>
  <c r="B49" i="11"/>
  <c r="E48" i="11"/>
  <c r="C48" i="11" s="1"/>
  <c r="E176" i="9"/>
  <c r="C176" i="9" s="1"/>
  <c r="E195" i="7"/>
  <c r="C195" i="7" s="1"/>
  <c r="B36" i="7"/>
  <c r="A36" i="7"/>
  <c r="E213" i="7"/>
  <c r="C213" i="7" s="1"/>
  <c r="B84" i="7"/>
  <c r="A84" i="7"/>
  <c r="E138" i="7"/>
  <c r="C138" i="7" s="1"/>
  <c r="E75" i="10"/>
  <c r="C75" i="10" s="1"/>
  <c r="E23" i="6"/>
  <c r="C23" i="6" s="1"/>
  <c r="E132" i="11"/>
  <c r="C132" i="11" s="1"/>
  <c r="E156" i="7"/>
  <c r="C156" i="7" s="1"/>
  <c r="E190" i="9"/>
  <c r="C190" i="9" s="1"/>
  <c r="B49" i="10"/>
  <c r="E49" i="10" s="1"/>
  <c r="C49" i="10" s="1"/>
  <c r="E20" i="10"/>
  <c r="C20" i="10" s="1"/>
  <c r="A11" i="8"/>
  <c r="E19" i="8"/>
  <c r="C19" i="8" s="1"/>
  <c r="E36" i="10"/>
  <c r="C36" i="10" s="1"/>
  <c r="A40" i="10"/>
  <c r="E40" i="10" s="1"/>
  <c r="C40" i="10" s="1"/>
  <c r="E99" i="10"/>
  <c r="C99" i="10" s="1"/>
  <c r="E113" i="10"/>
  <c r="C113" i="10" s="1"/>
  <c r="H16" i="10"/>
  <c r="H17" i="10" s="1"/>
  <c r="H18" i="10" s="1"/>
  <c r="H19" i="10" s="1"/>
  <c r="H20" i="10" s="1"/>
  <c r="H21" i="10" s="1"/>
  <c r="H22" i="10" s="1"/>
  <c r="E52" i="10"/>
  <c r="C52" i="10" s="1"/>
  <c r="E23" i="10"/>
  <c r="C23" i="10" s="1"/>
  <c r="E85" i="10"/>
  <c r="C85" i="10" s="1"/>
  <c r="E34" i="10"/>
  <c r="C34" i="10" s="1"/>
  <c r="E83" i="12"/>
  <c r="C83" i="12" s="1"/>
  <c r="E63" i="12"/>
  <c r="C63" i="12" s="1"/>
  <c r="A130" i="11"/>
  <c r="B130" i="11"/>
  <c r="E135" i="11"/>
  <c r="C135" i="11" s="1"/>
  <c r="B69" i="11"/>
  <c r="D72" i="11"/>
  <c r="D73" i="11" s="1"/>
  <c r="A172" i="11"/>
  <c r="E172" i="11" s="1"/>
  <c r="C172" i="11" s="1"/>
  <c r="A106" i="11"/>
  <c r="D107" i="11"/>
  <c r="B106" i="11"/>
  <c r="C138" i="11"/>
  <c r="E27" i="13"/>
  <c r="C27" i="13" s="1"/>
  <c r="B46" i="10"/>
  <c r="A46" i="10"/>
  <c r="E107" i="10"/>
  <c r="C107" i="10" s="1"/>
  <c r="B47" i="9"/>
  <c r="A47" i="9"/>
  <c r="C10" i="8"/>
  <c r="B139" i="11"/>
  <c r="A139" i="11"/>
  <c r="E84" i="10"/>
  <c r="C84" i="10" s="1"/>
  <c r="B58" i="10"/>
  <c r="A58" i="10"/>
  <c r="E28" i="11"/>
  <c r="C28" i="11" s="1"/>
  <c r="C7" i="10"/>
  <c r="A147" i="7"/>
  <c r="B147" i="7"/>
  <c r="B39" i="11"/>
  <c r="A39" i="11"/>
  <c r="B21" i="10"/>
  <c r="A21" i="10"/>
  <c r="A67" i="10"/>
  <c r="B67" i="10"/>
  <c r="D128" i="9"/>
  <c r="A127" i="9"/>
  <c r="A43" i="10"/>
  <c r="B43" i="10"/>
  <c r="E97" i="10"/>
  <c r="C97" i="10" s="1"/>
  <c r="B158" i="9"/>
  <c r="D160" i="9"/>
  <c r="A158" i="9"/>
  <c r="D55" i="10"/>
  <c r="B54" i="10"/>
  <c r="A54" i="10"/>
  <c r="B31" i="10"/>
  <c r="A31" i="10"/>
  <c r="B60" i="11"/>
  <c r="A60" i="11"/>
  <c r="E157" i="9"/>
  <c r="E132" i="7"/>
  <c r="C132" i="7" s="1"/>
  <c r="A25" i="6"/>
  <c r="D27" i="6"/>
  <c r="B25" i="6"/>
  <c r="A25" i="11"/>
  <c r="B25" i="11"/>
  <c r="B13" i="10"/>
  <c r="A13" i="10"/>
  <c r="B136" i="11"/>
  <c r="A136" i="11"/>
  <c r="E49" i="12"/>
  <c r="C49" i="12" s="1"/>
  <c r="A17" i="11"/>
  <c r="D19" i="11"/>
  <c r="B17" i="11"/>
  <c r="A16" i="10"/>
  <c r="B16" i="10"/>
  <c r="E57" i="8"/>
  <c r="C57" i="8" s="1"/>
  <c r="D12" i="6"/>
  <c r="A10" i="6"/>
  <c r="B10" i="6"/>
  <c r="E33" i="11"/>
  <c r="C33" i="11" s="1"/>
  <c r="E31" i="8"/>
  <c r="C31" i="8" s="1"/>
  <c r="D53" i="7"/>
  <c r="B51" i="7"/>
  <c r="A51" i="7"/>
  <c r="A60" i="8"/>
  <c r="D63" i="8"/>
  <c r="B60" i="8"/>
  <c r="A64" i="10"/>
  <c r="B64" i="10"/>
  <c r="E31" i="13"/>
  <c r="C31" i="13" s="1"/>
  <c r="E15" i="13"/>
  <c r="C15" i="13" s="1"/>
  <c r="B111" i="11"/>
  <c r="A111" i="11"/>
  <c r="D72" i="10"/>
  <c r="B70" i="10"/>
  <c r="A70" i="10"/>
  <c r="E38" i="11"/>
  <c r="C38" i="11" s="1"/>
  <c r="A101" i="9"/>
  <c r="D102" i="9"/>
  <c r="B101" i="9"/>
  <c r="B53" i="9"/>
  <c r="A53" i="9"/>
  <c r="D64" i="9"/>
  <c r="B62" i="9"/>
  <c r="A62" i="9"/>
  <c r="E48" i="7"/>
  <c r="C48" i="7" s="1"/>
  <c r="B92" i="9" l="1"/>
  <c r="A93" i="9"/>
  <c r="A92" i="9"/>
  <c r="D95" i="9"/>
  <c r="D96" i="9" s="1"/>
  <c r="E11" i="8"/>
  <c r="C11" i="8" s="1"/>
  <c r="H118" i="11"/>
  <c r="H119" i="11" s="1"/>
  <c r="H120" i="11" s="1"/>
  <c r="H121" i="11" s="1"/>
  <c r="H122" i="11" s="1"/>
  <c r="H123" i="11" s="1"/>
  <c r="H124" i="11" s="1"/>
  <c r="H125" i="11" s="1"/>
  <c r="H126" i="11" s="1"/>
  <c r="H127" i="11" s="1"/>
  <c r="H128" i="11" s="1"/>
  <c r="H129" i="11" s="1"/>
  <c r="H130" i="11" s="1"/>
  <c r="H131" i="11" s="1"/>
  <c r="H132" i="11" s="1"/>
  <c r="H133" i="11" s="1"/>
  <c r="H134" i="11" s="1"/>
  <c r="H135" i="11" s="1"/>
  <c r="H136" i="11" s="1"/>
  <c r="H137" i="11" s="1"/>
  <c r="H138" i="11" s="1"/>
  <c r="H139" i="11" s="1"/>
  <c r="H140" i="11" s="1"/>
  <c r="H141" i="11" s="1"/>
  <c r="H142" i="11" s="1"/>
  <c r="H143" i="11" s="1"/>
  <c r="H144" i="11" s="1"/>
  <c r="H145" i="11" s="1"/>
  <c r="H146" i="11" s="1"/>
  <c r="H147" i="11" s="1"/>
  <c r="H148" i="11" s="1"/>
  <c r="H149" i="11" s="1"/>
  <c r="H150" i="11" s="1"/>
  <c r="H151" i="11" s="1"/>
  <c r="H152" i="11" s="1"/>
  <c r="H153" i="11" s="1"/>
  <c r="H154" i="11" s="1"/>
  <c r="H155" i="11" s="1"/>
  <c r="H156" i="11" s="1"/>
  <c r="H157" i="11" s="1"/>
  <c r="H158" i="11" s="1"/>
  <c r="H159" i="11" s="1"/>
  <c r="H160" i="11" s="1"/>
  <c r="H161" i="11" s="1"/>
  <c r="H162" i="11" s="1"/>
  <c r="H163" i="11" s="1"/>
  <c r="H164" i="11" s="1"/>
  <c r="H165" i="11" s="1"/>
  <c r="H166" i="11" s="1"/>
  <c r="H167" i="11" s="1"/>
  <c r="H168" i="11" s="1"/>
  <c r="H169" i="11" s="1"/>
  <c r="H170" i="11" s="1"/>
  <c r="H171" i="11" s="1"/>
  <c r="H172" i="11" s="1"/>
  <c r="H23" i="10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B81" i="10"/>
  <c r="A81" i="10"/>
  <c r="B111" i="9"/>
  <c r="E111" i="9" s="1"/>
  <c r="C111" i="9" s="1"/>
  <c r="D112" i="9"/>
  <c r="A112" i="9" s="1"/>
  <c r="E29" i="9"/>
  <c r="C29" i="9" s="1"/>
  <c r="E36" i="7"/>
  <c r="C36" i="7" s="1"/>
  <c r="B72" i="11"/>
  <c r="E185" i="11"/>
  <c r="C185" i="11" s="1"/>
  <c r="D75" i="11"/>
  <c r="A75" i="11" s="1"/>
  <c r="A18" i="9"/>
  <c r="B18" i="9"/>
  <c r="E92" i="9"/>
  <c r="C92" i="9" s="1"/>
  <c r="B188" i="11"/>
  <c r="A188" i="11"/>
  <c r="E64" i="10"/>
  <c r="C64" i="10" s="1"/>
  <c r="A72" i="11"/>
  <c r="E106" i="11"/>
  <c r="C106" i="11" s="1"/>
  <c r="E84" i="7"/>
  <c r="C84" i="7" s="1"/>
  <c r="D88" i="7"/>
  <c r="E58" i="10"/>
  <c r="C58" i="10" s="1"/>
  <c r="E46" i="10"/>
  <c r="C46" i="10" s="1"/>
  <c r="E54" i="10"/>
  <c r="C54" i="10" s="1"/>
  <c r="B107" i="11"/>
  <c r="A107" i="11"/>
  <c r="E51" i="7"/>
  <c r="E16" i="10"/>
  <c r="C16" i="10" s="1"/>
  <c r="D29" i="6"/>
  <c r="B27" i="6"/>
  <c r="A27" i="6"/>
  <c r="A82" i="10"/>
  <c r="B82" i="10"/>
  <c r="B95" i="9"/>
  <c r="D73" i="10"/>
  <c r="A72" i="10"/>
  <c r="B72" i="10"/>
  <c r="B73" i="11"/>
  <c r="A73" i="11"/>
  <c r="E25" i="6"/>
  <c r="C25" i="6" s="1"/>
  <c r="E127" i="9"/>
  <c r="C127" i="9" s="1"/>
  <c r="B55" i="10"/>
  <c r="A55" i="10"/>
  <c r="A102" i="9"/>
  <c r="B102" i="9"/>
  <c r="D55" i="7"/>
  <c r="B53" i="7"/>
  <c r="A53" i="7"/>
  <c r="E31" i="10"/>
  <c r="C31" i="10" s="1"/>
  <c r="D130" i="9"/>
  <c r="B128" i="9"/>
  <c r="A128" i="9"/>
  <c r="A63" i="8"/>
  <c r="D66" i="8"/>
  <c r="B63" i="8"/>
  <c r="D14" i="6"/>
  <c r="B12" i="6"/>
  <c r="A12" i="6"/>
  <c r="E101" i="9"/>
  <c r="C101" i="9" s="1"/>
  <c r="E13" i="10"/>
  <c r="E60" i="8"/>
  <c r="C60" i="8" s="1"/>
  <c r="B112" i="9"/>
  <c r="E21" i="10"/>
  <c r="C21" i="10" s="1"/>
  <c r="E70" i="10"/>
  <c r="C70" i="10" s="1"/>
  <c r="E43" i="10"/>
  <c r="C43" i="10" s="1"/>
  <c r="E67" i="10"/>
  <c r="C67" i="10" s="1"/>
  <c r="E147" i="7"/>
  <c r="C147" i="7" s="1"/>
  <c r="D20" i="11"/>
  <c r="A19" i="11"/>
  <c r="B19" i="11"/>
  <c r="C157" i="9"/>
  <c r="B64" i="9"/>
  <c r="A64" i="9"/>
  <c r="D65" i="9"/>
  <c r="D161" i="9"/>
  <c r="B160" i="9"/>
  <c r="A160" i="9"/>
  <c r="A95" i="9" l="1"/>
  <c r="D114" i="9"/>
  <c r="B75" i="11"/>
  <c r="E75" i="11" s="1"/>
  <c r="C75" i="11" s="1"/>
  <c r="D76" i="11"/>
  <c r="A76" i="11" s="1"/>
  <c r="E81" i="10"/>
  <c r="C81" i="10" s="1"/>
  <c r="E160" i="9"/>
  <c r="C160" i="9" s="1"/>
  <c r="E18" i="9"/>
  <c r="C18" i="9" s="1"/>
  <c r="E27" i="6"/>
  <c r="C27" i="6" s="1"/>
  <c r="E72" i="11"/>
  <c r="C72" i="11" s="1"/>
  <c r="E188" i="11"/>
  <c r="C188" i="11" s="1"/>
  <c r="A88" i="7"/>
  <c r="B88" i="7"/>
  <c r="E19" i="11"/>
  <c r="C19" i="11" s="1"/>
  <c r="E12" i="6"/>
  <c r="C12" i="6" s="1"/>
  <c r="E55" i="10"/>
  <c r="C55" i="10" s="1"/>
  <c r="B161" i="9"/>
  <c r="D163" i="9"/>
  <c r="A161" i="9"/>
  <c r="E82" i="10"/>
  <c r="C82" i="10" s="1"/>
  <c r="A130" i="9"/>
  <c r="D131" i="9"/>
  <c r="B130" i="9"/>
  <c r="D69" i="8"/>
  <c r="B66" i="8"/>
  <c r="A66" i="8"/>
  <c r="A65" i="9"/>
  <c r="D67" i="9"/>
  <c r="B65" i="9"/>
  <c r="E64" i="9"/>
  <c r="E63" i="8"/>
  <c r="E72" i="10"/>
  <c r="B29" i="6"/>
  <c r="A29" i="6"/>
  <c r="D30" i="6"/>
  <c r="C13" i="10"/>
  <c r="D16" i="6"/>
  <c r="B14" i="6"/>
  <c r="A14" i="6"/>
  <c r="A73" i="10"/>
  <c r="B73" i="10"/>
  <c r="B114" i="9"/>
  <c r="A114" i="9"/>
  <c r="D115" i="9"/>
  <c r="A96" i="9"/>
  <c r="B96" i="9"/>
  <c r="E53" i="7"/>
  <c r="E95" i="9"/>
  <c r="C95" i="9" s="1"/>
  <c r="C51" i="7"/>
  <c r="B20" i="11"/>
  <c r="A20" i="11"/>
  <c r="D57" i="7"/>
  <c r="B55" i="7"/>
  <c r="A55" i="7"/>
  <c r="D32" i="6" l="1"/>
  <c r="B32" i="6" s="1"/>
  <c r="B30" i="6"/>
  <c r="A30" i="6"/>
  <c r="D79" i="11"/>
  <c r="A79" i="11" s="1"/>
  <c r="B76" i="11"/>
  <c r="E130" i="9"/>
  <c r="C130" i="9" s="1"/>
  <c r="E29" i="6"/>
  <c r="C29" i="6" s="1"/>
  <c r="E14" i="6"/>
  <c r="C14" i="6" s="1"/>
  <c r="E88" i="7"/>
  <c r="C88" i="7" s="1"/>
  <c r="D92" i="7"/>
  <c r="D18" i="6"/>
  <c r="B16" i="6"/>
  <c r="A16" i="6"/>
  <c r="B115" i="9"/>
  <c r="A115" i="9"/>
  <c r="E66" i="8"/>
  <c r="C66" i="8" s="1"/>
  <c r="E114" i="9"/>
  <c r="C114" i="9" s="1"/>
  <c r="C72" i="10"/>
  <c r="D68" i="9"/>
  <c r="A67" i="9"/>
  <c r="B67" i="9"/>
  <c r="D72" i="8"/>
  <c r="B69" i="8"/>
  <c r="A69" i="8"/>
  <c r="C63" i="8"/>
  <c r="E73" i="10"/>
  <c r="A131" i="9"/>
  <c r="B131" i="9"/>
  <c r="D133" i="9"/>
  <c r="B163" i="9"/>
  <c r="A163" i="9"/>
  <c r="D164" i="9"/>
  <c r="E55" i="7"/>
  <c r="C64" i="9"/>
  <c r="A57" i="7"/>
  <c r="D59" i="7"/>
  <c r="B57" i="7"/>
  <c r="C53" i="7"/>
  <c r="D34" i="6" l="1"/>
  <c r="D36" i="6" s="1"/>
  <c r="E16" i="6"/>
  <c r="C16" i="6" s="1"/>
  <c r="A32" i="6"/>
  <c r="E32" i="6" s="1"/>
  <c r="C32" i="6" s="1"/>
  <c r="D80" i="11"/>
  <c r="B80" i="11" s="1"/>
  <c r="B79" i="11"/>
  <c r="E79" i="11" s="1"/>
  <c r="E57" i="7"/>
  <c r="C57" i="7" s="1"/>
  <c r="E67" i="9"/>
  <c r="C67" i="9" s="1"/>
  <c r="A92" i="7"/>
  <c r="B92" i="7"/>
  <c r="D61" i="7"/>
  <c r="B59" i="7"/>
  <c r="A59" i="7"/>
  <c r="E69" i="8"/>
  <c r="D70" i="9"/>
  <c r="A68" i="9"/>
  <c r="B68" i="9"/>
  <c r="C55" i="7"/>
  <c r="D3" i="10" a="1"/>
  <c r="D3" i="10" s="1"/>
  <c r="B164" i="9"/>
  <c r="A164" i="9"/>
  <c r="D166" i="9"/>
  <c r="B133" i="9"/>
  <c r="A133" i="9"/>
  <c r="D134" i="9"/>
  <c r="C73" i="10"/>
  <c r="A72" i="8"/>
  <c r="D75" i="8"/>
  <c r="B72" i="8"/>
  <c r="E163" i="9"/>
  <c r="D3" i="12" a="1"/>
  <c r="D3" i="12" s="1"/>
  <c r="B18" i="6"/>
  <c r="A18" i="6"/>
  <c r="A34" i="6" l="1"/>
  <c r="B34" i="6"/>
  <c r="D83" i="11"/>
  <c r="B83" i="11" s="1"/>
  <c r="A80" i="11"/>
  <c r="E72" i="8"/>
  <c r="C72" i="8" s="1"/>
  <c r="E18" i="6"/>
  <c r="C18" i="6" s="1"/>
  <c r="E133" i="9"/>
  <c r="C133" i="9" s="1"/>
  <c r="E59" i="7"/>
  <c r="C59" i="7" s="1"/>
  <c r="E92" i="7"/>
  <c r="C92" i="7" s="1"/>
  <c r="D96" i="7"/>
  <c r="C79" i="11"/>
  <c r="D38" i="6"/>
  <c r="B36" i="6"/>
  <c r="A36" i="6"/>
  <c r="A70" i="9"/>
  <c r="D71" i="9"/>
  <c r="B70" i="9"/>
  <c r="B134" i="9"/>
  <c r="D136" i="9"/>
  <c r="A134" i="9"/>
  <c r="C69" i="8"/>
  <c r="D168" i="9"/>
  <c r="B166" i="9"/>
  <c r="A166" i="9"/>
  <c r="C163" i="9"/>
  <c r="A75" i="8"/>
  <c r="B75" i="8"/>
  <c r="D63" i="7"/>
  <c r="B61" i="7"/>
  <c r="A61" i="7"/>
  <c r="E34" i="6" l="1"/>
  <c r="C34" i="6" s="1"/>
  <c r="A83" i="11"/>
  <c r="E83" i="11" s="1"/>
  <c r="C83" i="11" s="1"/>
  <c r="D84" i="11"/>
  <c r="D87" i="11" s="1"/>
  <c r="A96" i="7"/>
  <c r="B96" i="7"/>
  <c r="E166" i="9"/>
  <c r="C166" i="9" s="1"/>
  <c r="E36" i="6"/>
  <c r="C36" i="6" s="1"/>
  <c r="E70" i="9"/>
  <c r="D65" i="7"/>
  <c r="B63" i="7"/>
  <c r="A63" i="7"/>
  <c r="D40" i="6"/>
  <c r="B38" i="6"/>
  <c r="A38" i="6"/>
  <c r="E61" i="7"/>
  <c r="E75" i="8"/>
  <c r="B168" i="9"/>
  <c r="A168" i="9"/>
  <c r="B136" i="9"/>
  <c r="D137" i="9"/>
  <c r="A136" i="9"/>
  <c r="E136" i="9" s="1"/>
  <c r="D73" i="9"/>
  <c r="A71" i="9"/>
  <c r="B71" i="9"/>
  <c r="B84" i="11" l="1"/>
  <c r="A84" i="11"/>
  <c r="E63" i="7"/>
  <c r="C63" i="7" s="1"/>
  <c r="E38" i="6"/>
  <c r="C38" i="6" s="1"/>
  <c r="E96" i="7"/>
  <c r="C96" i="7" s="1"/>
  <c r="D99" i="7"/>
  <c r="D139" i="9"/>
  <c r="B137" i="9"/>
  <c r="A137" i="9"/>
  <c r="E168" i="9"/>
  <c r="B87" i="11"/>
  <c r="D90" i="11"/>
  <c r="D88" i="11"/>
  <c r="A87" i="11"/>
  <c r="C136" i="9"/>
  <c r="D67" i="7"/>
  <c r="B65" i="7"/>
  <c r="A65" i="7"/>
  <c r="B73" i="9"/>
  <c r="A73" i="9"/>
  <c r="D74" i="9"/>
  <c r="C70" i="9"/>
  <c r="A40" i="6"/>
  <c r="D42" i="6"/>
  <c r="B40" i="6"/>
  <c r="C75" i="8"/>
  <c r="C61" i="7"/>
  <c r="B99" i="7" l="1"/>
  <c r="A99" i="7"/>
  <c r="E40" i="6"/>
  <c r="C40" i="6" s="1"/>
  <c r="E73" i="9"/>
  <c r="C73" i="9" s="1"/>
  <c r="E87" i="11"/>
  <c r="C87" i="11" s="1"/>
  <c r="D76" i="9"/>
  <c r="B74" i="9"/>
  <c r="A74" i="9"/>
  <c r="B88" i="11"/>
  <c r="A88" i="11"/>
  <c r="D44" i="6"/>
  <c r="B42" i="6"/>
  <c r="A42" i="6"/>
  <c r="A90" i="11"/>
  <c r="D93" i="11"/>
  <c r="B90" i="11"/>
  <c r="D91" i="11"/>
  <c r="E65" i="7"/>
  <c r="C65" i="7" s="1"/>
  <c r="A139" i="9"/>
  <c r="D140" i="9"/>
  <c r="B139" i="9"/>
  <c r="D69" i="7"/>
  <c r="B67" i="7"/>
  <c r="A67" i="7"/>
  <c r="C168" i="9"/>
  <c r="E139" i="9" l="1"/>
  <c r="C139" i="9" s="1"/>
  <c r="E90" i="11"/>
  <c r="C90" i="11" s="1"/>
  <c r="D102" i="7"/>
  <c r="E99" i="7"/>
  <c r="C99" i="7" s="1"/>
  <c r="E67" i="7"/>
  <c r="C67" i="7" s="1"/>
  <c r="D71" i="7"/>
  <c r="B69" i="7"/>
  <c r="A69" i="7"/>
  <c r="B91" i="11"/>
  <c r="A91" i="11"/>
  <c r="D96" i="11"/>
  <c r="B93" i="11"/>
  <c r="A93" i="11"/>
  <c r="D94" i="11"/>
  <c r="E42" i="6"/>
  <c r="C42" i="6" s="1"/>
  <c r="D46" i="6"/>
  <c r="B44" i="6"/>
  <c r="A44" i="6"/>
  <c r="D142" i="9"/>
  <c r="A140" i="9"/>
  <c r="B140" i="9"/>
  <c r="A76" i="9"/>
  <c r="B76" i="9"/>
  <c r="D77" i="9"/>
  <c r="E93" i="11" l="1"/>
  <c r="C93" i="11" s="1"/>
  <c r="E69" i="7"/>
  <c r="C69" i="7" s="1"/>
  <c r="B102" i="7"/>
  <c r="A102" i="7"/>
  <c r="E76" i="9"/>
  <c r="D48" i="6"/>
  <c r="B46" i="6"/>
  <c r="A46" i="6"/>
  <c r="D73" i="7"/>
  <c r="B71" i="7"/>
  <c r="A71" i="7"/>
  <c r="B94" i="11"/>
  <c r="A94" i="11"/>
  <c r="D97" i="11"/>
  <c r="B96" i="11"/>
  <c r="A96" i="11"/>
  <c r="A142" i="9"/>
  <c r="D143" i="9"/>
  <c r="B142" i="9"/>
  <c r="A77" i="9"/>
  <c r="D79" i="9"/>
  <c r="B77" i="9"/>
  <c r="E44" i="6"/>
  <c r="C44" i="6" s="1"/>
  <c r="E96" i="11" l="1"/>
  <c r="C96" i="11" s="1"/>
  <c r="E142" i="9"/>
  <c r="C142" i="9" s="1"/>
  <c r="E71" i="7"/>
  <c r="C71" i="7" s="1"/>
  <c r="D105" i="7"/>
  <c r="E102" i="7"/>
  <c r="C102" i="7" s="1"/>
  <c r="E46" i="6"/>
  <c r="C46" i="6" s="1"/>
  <c r="A73" i="7"/>
  <c r="B73" i="7"/>
  <c r="B48" i="6"/>
  <c r="D50" i="6"/>
  <c r="A48" i="6"/>
  <c r="E48" i="6" s="1"/>
  <c r="C48" i="6" s="1"/>
  <c r="B97" i="11"/>
  <c r="D99" i="11"/>
  <c r="A97" i="11"/>
  <c r="C76" i="9"/>
  <c r="A79" i="9"/>
  <c r="D80" i="9"/>
  <c r="B79" i="9"/>
  <c r="D145" i="9"/>
  <c r="B143" i="9"/>
  <c r="A143" i="9"/>
  <c r="A105" i="7" l="1"/>
  <c r="B105" i="7"/>
  <c r="B145" i="9"/>
  <c r="D146" i="9"/>
  <c r="A145" i="9"/>
  <c r="A99" i="11"/>
  <c r="B99" i="11"/>
  <c r="D100" i="11"/>
  <c r="D82" i="9"/>
  <c r="B80" i="9"/>
  <c r="A80" i="9"/>
  <c r="E79" i="9"/>
  <c r="B50" i="6"/>
  <c r="D52" i="6"/>
  <c r="A50" i="6"/>
  <c r="E73" i="7"/>
  <c r="C73" i="7" s="1"/>
  <c r="E99" i="11" l="1"/>
  <c r="C99" i="11" s="1"/>
  <c r="E145" i="9"/>
  <c r="C145" i="9" s="1"/>
  <c r="E50" i="6"/>
  <c r="C50" i="6" s="1"/>
  <c r="E105" i="7"/>
  <c r="C105" i="7" s="1"/>
  <c r="D108" i="7"/>
  <c r="B146" i="9"/>
  <c r="A146" i="9"/>
  <c r="D148" i="9"/>
  <c r="D54" i="6"/>
  <c r="A52" i="6"/>
  <c r="B52" i="6"/>
  <c r="B82" i="9"/>
  <c r="A82" i="9"/>
  <c r="D83" i="9"/>
  <c r="A100" i="11"/>
  <c r="B100" i="11"/>
  <c r="C79" i="9"/>
  <c r="E82" i="9" l="1"/>
  <c r="C82" i="9" s="1"/>
  <c r="E52" i="6"/>
  <c r="C52" i="6" s="1"/>
  <c r="B108" i="7"/>
  <c r="A108" i="7"/>
  <c r="B54" i="6"/>
  <c r="D56" i="6"/>
  <c r="A54" i="6"/>
  <c r="D85" i="9"/>
  <c r="A83" i="9"/>
  <c r="B83" i="9"/>
  <c r="B148" i="9"/>
  <c r="D149" i="9"/>
  <c r="A148" i="9"/>
  <c r="D3" i="11" a="1"/>
  <c r="D3" i="11" s="1"/>
  <c r="E108" i="7" l="1"/>
  <c r="C108" i="7" s="1"/>
  <c r="D111" i="7"/>
  <c r="E148" i="9"/>
  <c r="C148" i="9" s="1"/>
  <c r="E54" i="6"/>
  <c r="C54" i="6" s="1"/>
  <c r="B85" i="9"/>
  <c r="D86" i="9"/>
  <c r="A85" i="9"/>
  <c r="D151" i="9"/>
  <c r="B149" i="9"/>
  <c r="A149" i="9"/>
  <c r="A56" i="6"/>
  <c r="B56" i="6"/>
  <c r="D58" i="6"/>
  <c r="E56" i="6" l="1"/>
  <c r="C56" i="6" s="1"/>
  <c r="A111" i="7"/>
  <c r="B111" i="7"/>
  <c r="E85" i="9"/>
  <c r="C85" i="9" s="1"/>
  <c r="B58" i="6"/>
  <c r="A58" i="6"/>
  <c r="D60" i="6"/>
  <c r="D152" i="9"/>
  <c r="B151" i="9"/>
  <c r="A151" i="9"/>
  <c r="B86" i="9"/>
  <c r="A86" i="9"/>
  <c r="E151" i="9" l="1"/>
  <c r="C151" i="9" s="1"/>
  <c r="E58" i="6"/>
  <c r="C58" i="6" s="1"/>
  <c r="D114" i="7"/>
  <c r="E111" i="7"/>
  <c r="C111" i="7" s="1"/>
  <c r="A152" i="9"/>
  <c r="B152" i="9"/>
  <c r="A60" i="6"/>
  <c r="D62" i="6"/>
  <c r="B60" i="6"/>
  <c r="B114" i="7" l="1"/>
  <c r="A114" i="7"/>
  <c r="A62" i="6"/>
  <c r="B62" i="6"/>
  <c r="D64" i="6"/>
  <c r="E60" i="6"/>
  <c r="C60" i="6" s="1"/>
  <c r="E114" i="7" l="1"/>
  <c r="C114" i="7" s="1"/>
  <c r="D117" i="7"/>
  <c r="B64" i="6"/>
  <c r="A64" i="6"/>
  <c r="D66" i="6"/>
  <c r="D68" i="6" s="1"/>
  <c r="E62" i="6"/>
  <c r="C62" i="6" s="1"/>
  <c r="A68" i="6" l="1"/>
  <c r="D70" i="6"/>
  <c r="B68" i="6"/>
  <c r="A117" i="7"/>
  <c r="B117" i="7"/>
  <c r="D3" i="13" a="1"/>
  <c r="D3" i="13" s="1"/>
  <c r="A66" i="6"/>
  <c r="B66" i="6"/>
  <c r="E64" i="6"/>
  <c r="C64" i="6" s="1"/>
  <c r="E68" i="6" l="1"/>
  <c r="C68" i="6" s="1"/>
  <c r="E117" i="7"/>
  <c r="C117" i="7" s="1"/>
  <c r="B70" i="6"/>
  <c r="A70" i="6"/>
  <c r="D72" i="6"/>
  <c r="E66" i="6"/>
  <c r="E70" i="6" l="1"/>
  <c r="C70" i="6" s="1"/>
  <c r="B72" i="6"/>
  <c r="D74" i="6"/>
  <c r="A72" i="6"/>
  <c r="C66" i="6"/>
  <c r="B74" i="6" l="1"/>
  <c r="D76" i="6"/>
  <c r="A74" i="6"/>
  <c r="E72" i="6"/>
  <c r="C72" i="6" s="1"/>
  <c r="E74" i="6" l="1"/>
  <c r="C74" i="6" s="1"/>
  <c r="B76" i="6"/>
  <c r="A76" i="6"/>
  <c r="D78" i="6"/>
  <c r="B78" i="6" l="1"/>
  <c r="D80" i="6"/>
  <c r="A78" i="6"/>
  <c r="E76" i="6"/>
  <c r="C76" i="6" s="1"/>
  <c r="E78" i="6" l="1"/>
  <c r="C78" i="6" s="1"/>
  <c r="B80" i="6"/>
  <c r="A80" i="6"/>
  <c r="E80" i="6" l="1"/>
  <c r="C80" i="6" s="1"/>
  <c r="D3" i="6" a="1"/>
  <c r="D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6" authorId="0" shapeId="0" xr:uid="{00000000-0006-0000-0200-000003000000}">
      <text>
        <r>
          <rPr>
            <sz val="10"/>
            <color rgb="FF000000"/>
            <rFont val="Arial"/>
            <family val="2"/>
            <scheme val="minor"/>
          </rPr>
          <t>======
ID#AAAAIq2uWxQ
Suthar, Vijay    (2021-06-05 17:10:24)
Split between Nez and SutharEspinoza</t>
        </r>
      </text>
    </comment>
    <comment ref="D30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======
ID#AAAAIq2uW0I
Suthar, Vijay    (2021-06-05 17:10:24)
Some looks wrong - too high - must have included sec deposit</t>
        </r>
      </text>
    </comment>
    <comment ref="D31" authorId="0" shapeId="0" xr:uid="{00000000-0006-0000-0200-000002000000}">
      <text>
        <r>
          <rPr>
            <sz val="10"/>
            <color rgb="FF000000"/>
            <rFont val="Arial"/>
            <family val="2"/>
            <scheme val="minor"/>
          </rPr>
          <t>======
ID#AAAAIq2uW0E
Suthar, Vijay    (2021-06-05 17:10:24)
Adjust for sec deposit included previous quarter and addl payment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104" authorId="0" shapeId="0" xr:uid="{00000000-0006-0000-0800-000005000000}">
      <text>
        <r>
          <rPr>
            <sz val="10"/>
            <color rgb="FF000000"/>
            <rFont val="Arial"/>
            <family val="2"/>
            <scheme val="minor"/>
          </rPr>
          <t>======
ID#AAAAIq2uWx4
Suthar, Vijay    (2021-06-05 17:10:24)
$10/day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Vijay Suthar</author>
  </authors>
  <commentList>
    <comment ref="E23" authorId="0" shapeId="0" xr:uid="{00000000-0006-0000-0A00-000008000000}">
      <text>
        <r>
          <rPr>
            <sz val="10"/>
            <color rgb="FF000000"/>
            <rFont val="Arial"/>
            <family val="2"/>
            <scheme val="minor"/>
          </rPr>
          <t>======
ID#AAAAIq2uW0A
Suthar, Vijay    (2021-06-05 17:10:24)
$10/day</t>
        </r>
      </text>
    </comment>
    <comment ref="E27" authorId="0" shapeId="0" xr:uid="{00000000-0006-0000-0A00-000015000000}">
      <text>
        <r>
          <rPr>
            <sz val="10"/>
            <color rgb="FF000000"/>
            <rFont val="Arial"/>
            <family val="2"/>
            <scheme val="minor"/>
          </rPr>
          <t>======
ID#AAAAIq2uWww
Suthar, Vijay    (2021-06-05 17:10:24)
$10/day</t>
        </r>
      </text>
    </comment>
    <comment ref="E32" authorId="0" shapeId="0" xr:uid="{00000000-0006-0000-0A00-000010000000}">
      <text>
        <r>
          <rPr>
            <sz val="10"/>
            <color rgb="FF000000"/>
            <rFont val="Arial"/>
            <family val="2"/>
            <scheme val="minor"/>
          </rPr>
          <t>======
ID#AAAAIq2uWyg
Suthar, Vijay    (2021-06-05 17:10:24)
$10/day</t>
        </r>
      </text>
    </comment>
    <comment ref="E37" authorId="0" shapeId="0" xr:uid="{00000000-0006-0000-0A00-00000A000000}">
      <text>
        <r>
          <rPr>
            <sz val="10"/>
            <color rgb="FF000000"/>
            <rFont val="Arial"/>
            <family val="2"/>
            <scheme val="minor"/>
          </rPr>
          <t>======
ID#AAAAIq2uWz8
Suthar, Vijay    (2021-06-05 17:10:24)
$10/day</t>
        </r>
      </text>
    </comment>
    <comment ref="E42" authorId="0" shapeId="0" xr:uid="{00000000-0006-0000-0A00-00000E000000}">
      <text>
        <r>
          <rPr>
            <sz val="10"/>
            <color rgb="FF000000"/>
            <rFont val="Arial"/>
            <family val="2"/>
            <scheme val="minor"/>
          </rPr>
          <t>======
ID#AAAAIq2uWzU
Suthar, Vijay    (2021-06-05 17:10:24)
$10/day</t>
        </r>
      </text>
    </comment>
    <comment ref="E47" authorId="0" shapeId="0" xr:uid="{00000000-0006-0000-0A00-000001000000}">
      <text>
        <r>
          <rPr>
            <sz val="10"/>
            <color rgb="FF000000"/>
            <rFont val="Arial"/>
            <family val="2"/>
            <scheme val="minor"/>
          </rPr>
          <t>======
ID#AAAAIq2uW1w
Suthar, Vijay    (2021-06-05 17:10:24)
$10/day</t>
        </r>
      </text>
    </comment>
    <comment ref="E53" authorId="0" shapeId="0" xr:uid="{00000000-0006-0000-0A00-000006000000}">
      <text>
        <r>
          <rPr>
            <sz val="10"/>
            <color rgb="FF000000"/>
            <rFont val="Arial"/>
            <family val="2"/>
            <scheme val="minor"/>
          </rPr>
          <t>======
ID#AAAAIq2uW0c
Suthar, Vijay    (2021-06-05 17:10:24)
$10/day</t>
        </r>
      </text>
    </comment>
    <comment ref="E58" authorId="0" shapeId="0" xr:uid="{00000000-0006-0000-0A00-000007000000}">
      <text>
        <r>
          <rPr>
            <sz val="10"/>
            <color rgb="FF000000"/>
            <rFont val="Arial"/>
            <family val="2"/>
            <scheme val="minor"/>
          </rPr>
          <t>======
ID#AAAAIq2uW0M
Suthar, Vijay    (2021-06-05 17:10:24)
$10/day</t>
        </r>
      </text>
    </comment>
    <comment ref="E63" authorId="0" shapeId="0" xr:uid="{00000000-0006-0000-0A00-000011000000}">
      <text>
        <r>
          <rPr>
            <sz val="10"/>
            <color rgb="FF000000"/>
            <rFont val="Arial"/>
            <family val="2"/>
            <scheme val="minor"/>
          </rPr>
          <t>======
ID#AAAAIq2uWyc
Suthar, Vijay    (2021-06-05 17:10:24)
$10/day</t>
        </r>
      </text>
    </comment>
    <comment ref="E67" authorId="0" shapeId="0" xr:uid="{00000000-0006-0000-0A00-000013000000}">
      <text>
        <r>
          <rPr>
            <sz val="10"/>
            <color rgb="FF000000"/>
            <rFont val="Arial"/>
            <family val="2"/>
            <scheme val="minor"/>
          </rPr>
          <t>======
ID#AAAAIq2uWxg
Suthar, Vijay    (2021-06-05 17:10:24)
$10/day</t>
        </r>
      </text>
    </comment>
    <comment ref="E71" authorId="0" shapeId="0" xr:uid="{00000000-0006-0000-0A00-00000B000000}">
      <text>
        <r>
          <rPr>
            <sz val="10"/>
            <color rgb="FF000000"/>
            <rFont val="Arial"/>
            <family val="2"/>
            <scheme val="minor"/>
          </rPr>
          <t>======
ID#AAAAIq2uWzs
Suthar, Vijay    (2021-06-05 17:10:24)
$10/day</t>
        </r>
      </text>
    </comment>
    <comment ref="E78" authorId="0" shapeId="0" xr:uid="{00000000-0006-0000-0A00-000005000000}">
      <text>
        <r>
          <rPr>
            <sz val="10"/>
            <color rgb="FF000000"/>
            <rFont val="Arial"/>
            <family val="2"/>
            <scheme val="minor"/>
          </rPr>
          <t>======
ID#AAAAIq2uW0o
Suthar, Vijay    (2021-06-05 17:10:24)
$10/day</t>
        </r>
      </text>
    </comment>
    <comment ref="E82" authorId="0" shapeId="0" xr:uid="{00000000-0006-0000-0A00-000009000000}">
      <text>
        <r>
          <rPr>
            <sz val="10"/>
            <color rgb="FF000000"/>
            <rFont val="Arial"/>
            <family val="2"/>
            <scheme val="minor"/>
          </rPr>
          <t>======
ID#AAAAIq2uWz4
Suthar, Vijay    (2021-06-05 17:10:24)
$10/day</t>
        </r>
      </text>
    </comment>
    <comment ref="E86" authorId="0" shapeId="0" xr:uid="{00000000-0006-0000-0A00-00000D000000}">
      <text>
        <r>
          <rPr>
            <sz val="10"/>
            <color rgb="FF000000"/>
            <rFont val="Arial"/>
            <family val="2"/>
            <scheme val="minor"/>
          </rPr>
          <t>======
ID#AAAAIq2uWzc
Suthar, Vijay    (2021-06-05 17:10:24)
$10/day</t>
        </r>
      </text>
    </comment>
    <comment ref="E102" authorId="0" shapeId="0" xr:uid="{00000000-0006-0000-0A00-000003000000}">
      <text>
        <r>
          <rPr>
            <sz val="10"/>
            <color rgb="FF000000"/>
            <rFont val="Arial"/>
            <family val="2"/>
            <scheme val="minor"/>
          </rPr>
          <t>======
ID#AAAAIq2uW10
Suthar, Vijay    (2021-06-05 17:10:24)
$10/day</t>
        </r>
      </text>
    </comment>
    <comment ref="E108" authorId="0" shapeId="0" xr:uid="{00000000-0006-0000-0A00-000004000000}">
      <text>
        <r>
          <rPr>
            <sz val="10"/>
            <color rgb="FF000000"/>
            <rFont val="Arial"/>
            <family val="2"/>
            <scheme val="minor"/>
          </rPr>
          <t>======
ID#AAAAIq2uW04
Suthar, Vijay    (2021-06-05 17:10:24)
$10/day</t>
        </r>
      </text>
    </comment>
    <comment ref="E113" authorId="0" shapeId="0" xr:uid="{00000000-0006-0000-0A00-00000C000000}">
      <text>
        <r>
          <rPr>
            <sz val="10"/>
            <color rgb="FF000000"/>
            <rFont val="Arial"/>
            <family val="2"/>
            <scheme val="minor"/>
          </rPr>
          <t>======
ID#AAAAIq2uWzw
Suthar, Vijay    (2021-06-05 17:10:24)
$10/day</t>
        </r>
      </text>
    </comment>
    <comment ref="E116" authorId="0" shapeId="0" xr:uid="{00000000-0006-0000-0A00-00000F000000}">
      <text>
        <r>
          <rPr>
            <sz val="10"/>
            <color rgb="FF000000"/>
            <rFont val="Arial"/>
            <family val="2"/>
            <scheme val="minor"/>
          </rPr>
          <t>======
ID#AAAAIq2uWzY
Suthar, Vijay    (2021-06-05 17:10:24)
$10/day</t>
        </r>
      </text>
    </comment>
    <comment ref="E118" authorId="0" shapeId="0" xr:uid="{00000000-0006-0000-0A00-000002000000}">
      <text>
        <r>
          <rPr>
            <sz val="10"/>
            <color rgb="FF000000"/>
            <rFont val="Arial"/>
            <family val="2"/>
            <scheme val="minor"/>
          </rPr>
          <t>======
ID#AAAAIq2uW1o
Suthar, Vijay    (2021-06-05 17:10:24)
$10/day</t>
        </r>
      </text>
    </comment>
    <comment ref="F143" authorId="1" shapeId="0" xr:uid="{A37F1A08-B2FF-41AC-93FF-4F14225B8459}">
      <text>
        <r>
          <rPr>
            <b/>
            <sz val="9"/>
            <color indexed="81"/>
            <rFont val="Tahoma"/>
            <family val="2"/>
          </rPr>
          <t>Vijay Suthar:</t>
        </r>
        <r>
          <rPr>
            <sz val="9"/>
            <color indexed="81"/>
            <rFont val="Tahoma"/>
            <family val="2"/>
          </rPr>
          <t xml:space="preserve">
Not sure about this - had to do this to get to balance.   Got corrupted somehow.   7/2/22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" authorId="0" shapeId="0" xr:uid="{00000000-0006-0000-0B00-000002000000}">
      <text>
        <r>
          <rPr>
            <sz val="10"/>
            <color rgb="FF000000"/>
            <rFont val="Arial"/>
            <family val="2"/>
            <scheme val="minor"/>
          </rPr>
          <t>======
ID#AAAAIq2uW1Y
Suthar, Vijay    (2021-06-05 17:10:24)
Includes Internet Fee of $80/mo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<sst xmlns="http://schemas.openxmlformats.org/spreadsheetml/2006/main" count="910" uniqueCount="165">
  <si>
    <t>NOTE:  Do not include cleaning/ security deposit</t>
  </si>
  <si>
    <t xml:space="preserve">License :  </t>
  </si>
  <si>
    <t>Use Tax</t>
  </si>
  <si>
    <t>For Priv Tax - realize the rent was short but just pay the full priv tax this quarter to keep bookkeeping easy .</t>
  </si>
  <si>
    <t>Gross Receipts</t>
  </si>
  <si>
    <t>Tax Due</t>
  </si>
  <si>
    <t>Paid (from website)</t>
  </si>
  <si>
    <t>Filed Date</t>
  </si>
  <si>
    <t>Paid Date</t>
  </si>
  <si>
    <t>Az code</t>
  </si>
  <si>
    <t>Year</t>
  </si>
  <si>
    <t>Tax %</t>
  </si>
  <si>
    <t>Priv Tax</t>
  </si>
  <si>
    <t>Collected</t>
  </si>
  <si>
    <t>Q3'13</t>
  </si>
  <si>
    <t>Q4'13</t>
  </si>
  <si>
    <t>Q1'14</t>
  </si>
  <si>
    <t>Q2'14</t>
  </si>
  <si>
    <t>Q3'14</t>
  </si>
  <si>
    <t>Maybe should have used 1.8%?</t>
  </si>
  <si>
    <t>Q4'14</t>
  </si>
  <si>
    <t>2014 Total</t>
  </si>
  <si>
    <t>Q1'15</t>
  </si>
  <si>
    <t>Q2'15</t>
  </si>
  <si>
    <t>Q3'15</t>
  </si>
  <si>
    <t>Include all income collected per website (includes late fees and nonrefundable deposits)</t>
  </si>
  <si>
    <t>Q4'15</t>
  </si>
  <si>
    <t>Q1'16</t>
  </si>
  <si>
    <t>Q2'16</t>
  </si>
  <si>
    <t>Q3'16</t>
  </si>
  <si>
    <t>START INCLUDING LATE FEES :( - originally right - take all income -tax collected and tax that</t>
  </si>
  <si>
    <t>Q4'16</t>
  </si>
  <si>
    <t xml:space="preserve">CHROME GIVES ERROR WHEN LOGIN IN - Pay at aztaxes.gov; login (see file);   </t>
  </si>
  <si>
    <t>Select Business by "View"</t>
  </si>
  <si>
    <t>Click on File - TPT and Use Return</t>
  </si>
  <si>
    <t>Select property one by one - code above and enter gross amounts by editing item</t>
  </si>
  <si>
    <t>Pay by ACH - might have to be several days out.</t>
  </si>
  <si>
    <t>Pay by Union bank</t>
  </si>
  <si>
    <t xml:space="preserve">UB Route:  </t>
  </si>
  <si>
    <t>Act #: 2451048793</t>
  </si>
  <si>
    <t>Current Balance</t>
  </si>
  <si>
    <t>Lease Expires</t>
  </si>
  <si>
    <t>Deposit Location</t>
  </si>
  <si>
    <t>Month</t>
  </si>
  <si>
    <t>Date</t>
  </si>
  <si>
    <t>Transaction</t>
  </si>
  <si>
    <t>Credit</t>
  </si>
  <si>
    <t>Charges</t>
  </si>
  <si>
    <t>Balance Due</t>
  </si>
  <si>
    <t>Security Deposit</t>
  </si>
  <si>
    <t>Deposit</t>
  </si>
  <si>
    <t>Payment Received</t>
  </si>
  <si>
    <t>Late Fee</t>
  </si>
  <si>
    <t>Tyoe</t>
  </si>
  <si>
    <t>Sec Dep Refund</t>
  </si>
  <si>
    <t>Pet Fee - NONREFUNDABLE</t>
  </si>
  <si>
    <t>Credit - Refrigerator purchase</t>
  </si>
  <si>
    <t xml:space="preserve">NON-REFUNDABLE PET FEE </t>
  </si>
  <si>
    <t>Type</t>
  </si>
  <si>
    <t>Rent - Partial for Nov 12-30</t>
  </si>
  <si>
    <t>Credit - carbon monoxidedetector</t>
  </si>
  <si>
    <t>Credit - Garage Door Repair</t>
  </si>
  <si>
    <t>NONREFUNDABLE PET FEE</t>
  </si>
  <si>
    <t>Paid</t>
  </si>
  <si>
    <t>Tax</t>
  </si>
  <si>
    <t>Misc Comment</t>
  </si>
  <si>
    <t>Cleaning Deposit - non refundable</t>
  </si>
  <si>
    <t>Payment received - Move in</t>
  </si>
  <si>
    <t>Payment received</t>
  </si>
  <si>
    <t>Refund - Sec Dep</t>
  </si>
  <si>
    <t>Credit - Cleanup of house - own maids</t>
  </si>
  <si>
    <t>Non refundable pet deposit</t>
  </si>
  <si>
    <t>Non refundable security deposit</t>
  </si>
  <si>
    <t>Pro-rate Rent - 12/28-12/31</t>
  </si>
  <si>
    <t>Credit - Vijay had lease extension wrong</t>
  </si>
  <si>
    <t>Correct Round off</t>
  </si>
  <si>
    <t>Non refundable cleaning fee</t>
  </si>
  <si>
    <t>Non refundable pet cleaning fee</t>
  </si>
  <si>
    <t>Pro-rate Rent - 2/21 - 2/29</t>
  </si>
  <si>
    <t>Payment Received - Lease Signing deposit</t>
  </si>
  <si>
    <t>Jeanie Urbano</t>
  </si>
  <si>
    <t>Cleaning Fee - Nonrefundable</t>
  </si>
  <si>
    <t>Late Fee - Sep</t>
  </si>
  <si>
    <t xml:space="preserve">Check - help </t>
  </si>
  <si>
    <t xml:space="preserve">Next Tenant:   </t>
  </si>
  <si>
    <t xml:space="preserve">Security Deposit Refunable </t>
  </si>
  <si>
    <t>Cleaning Deposit - NONREFUNDABLE</t>
  </si>
  <si>
    <t>Cynthia Garza</t>
  </si>
  <si>
    <t>Allow no late fees for this</t>
  </si>
  <si>
    <t>Advance for garage entry door replacement</t>
  </si>
  <si>
    <t>Credit for Jan rent - no washer provided / just dryer</t>
  </si>
  <si>
    <t>Credit Receipt 1</t>
  </si>
  <si>
    <t>Credit Receipt 2</t>
  </si>
  <si>
    <t>Credit Receipt 3</t>
  </si>
  <si>
    <t>Credit Receipt 4</t>
  </si>
  <si>
    <t>Credit Receipt 5</t>
  </si>
  <si>
    <t>Credit Receipt 6</t>
  </si>
  <si>
    <t>Credit - Toilet Tank</t>
  </si>
  <si>
    <t>Credit - Heat Repair (Jan21)</t>
  </si>
  <si>
    <t>Repairs - Garage door new</t>
  </si>
  <si>
    <t>Supplies - Garage door paint and patio paint</t>
  </si>
  <si>
    <t>Pet Cleaning Deposit - non refundable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</si>
  <si>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</si>
  <si>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</si>
  <si>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</si>
  <si>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</si>
  <si>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</si>
  <si>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</si>
  <si>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</si>
  <si>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</si>
  <si>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</si>
  <si>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</si>
  <si>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</si>
  <si>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</si>
  <si>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Credit - AC Capacitor - he paid</t>
  </si>
  <si>
    <t>Fee Parking violation</t>
  </si>
  <si>
    <t>Fee:   Parking violation admin fee</t>
  </si>
  <si>
    <t>Late Fee Dec ($35 first day the 6th  + $10/day after)</t>
  </si>
  <si>
    <t>Credit - New Toilet Seat</t>
  </si>
  <si>
    <t>Grace Period (days)</t>
  </si>
  <si>
    <t>New Tenant</t>
  </si>
  <si>
    <t>Velia Jada</t>
  </si>
  <si>
    <t>Lily Rosa</t>
  </si>
  <si>
    <t>Address</t>
  </si>
  <si>
    <t>Suzana Hrolf</t>
  </si>
  <si>
    <t>1029 Elm St</t>
  </si>
  <si>
    <t>Fiorenza Josepe</t>
  </si>
  <si>
    <t xml:space="preserve"> Katarina Yavuz</t>
  </si>
  <si>
    <t xml:space="preserve">Next Tenant:    </t>
  </si>
  <si>
    <t>Next Tenant</t>
  </si>
  <si>
    <t>Afi Yemelyan</t>
  </si>
  <si>
    <t>Dalila Anik</t>
  </si>
  <si>
    <t>Leland, NC 28451</t>
  </si>
  <si>
    <t>35736 West Maple Lane</t>
  </si>
  <si>
    <t>North Wales, PA 19454</t>
  </si>
  <si>
    <t>2592 Devon Drive</t>
  </si>
  <si>
    <t>Milton, MA 02186</t>
  </si>
  <si>
    <t>5436 Green St.</t>
  </si>
  <si>
    <t>Londonderry, NH 03053</t>
  </si>
  <si>
    <t>932 Longfellow Drive</t>
  </si>
  <si>
    <t>Lagrange, GA 30240</t>
  </si>
  <si>
    <t>2614 Bank St.</t>
  </si>
  <si>
    <t>Gallatin, TN 37066</t>
  </si>
  <si>
    <t>Rock Hill, SC 29730</t>
  </si>
  <si>
    <t>9001 Walnutwood Ave.</t>
  </si>
  <si>
    <t>8995 Walt Whitman St.</t>
  </si>
  <si>
    <t>St Louis, Mo 63122</t>
  </si>
  <si>
    <t>Sec Dep NOT Refunded</t>
  </si>
  <si>
    <t>MOVE OUT</t>
  </si>
  <si>
    <t>Cleaning Deposit</t>
  </si>
  <si>
    <t>Rent</t>
  </si>
  <si>
    <t>FIRST TENANT</t>
  </si>
  <si>
    <t>5070 Cactus Pl.</t>
  </si>
  <si>
    <t>Klara Ablus</t>
  </si>
  <si>
    <t xml:space="preserve"> Pualino Alik</t>
  </si>
  <si>
    <t>Girish Feray</t>
  </si>
  <si>
    <t>Rita Ganesh</t>
  </si>
  <si>
    <t>Berko Betul</t>
  </si>
  <si>
    <t>Shreya Anna</t>
  </si>
  <si>
    <t>Gabriela Rica</t>
  </si>
  <si>
    <t>Rent: 1</t>
  </si>
  <si>
    <t>12/1/2022</t>
  </si>
  <si>
    <t>Rent: Dec '2022</t>
  </si>
  <si>
    <t>John G</t>
  </si>
  <si>
    <t>Susannes Ramona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</si>
</sst>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  <numFmt numFmtId="166" formatCode="&quot;$&quot;#,##0.00"/>
  </numFmts>
  <fonts count="24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  <scheme val="minor"/>
    </font>
    <font>
      <sz val="11"/>
      <color theme="0"/>
      <name val="Calibri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b/>
      <i/>
      <sz val="8"/>
      <color theme="1"/>
      <name val="Arial"/>
      <family val="2"/>
    </font>
    <font>
      <sz val="11"/>
      <color rgb="FF9C0006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sz val="10"/>
      <color rgb="FFFF0000"/>
      <name val="Arial"/>
      <family val="2"/>
      <scheme val="minor"/>
    </font>
    <font>
      <sz val="8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name val="Arial"/>
      <family val="2"/>
    </font>
    <font>
      <sz val="11"/>
      <color rgb="FFFF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rgb="FF92D050"/>
      </patternFill>
    </fill>
    <fill>
      <patternFill patternType="solid">
        <fgColor rgb="FFE36C09"/>
        <bgColor rgb="FFE36C09"/>
      </patternFill>
    </fill>
    <fill>
      <patternFill patternType="solid">
        <fgColor rgb="FF7030A0"/>
        <bgColor rgb="FF7030A0"/>
      </patternFill>
    </fill>
    <fill>
      <patternFill patternType="solid">
        <fgColor theme="7"/>
        <bgColor theme="7"/>
      </patternFill>
    </fill>
    <fill>
      <patternFill patternType="solid">
        <fgColor rgb="FFC0C0C0"/>
        <bgColor rgb="FFC0C0C0"/>
      </patternFill>
    </fill>
    <fill>
      <patternFill patternType="solid">
        <fgColor theme="5"/>
        <bgColor theme="5"/>
      </patternFill>
    </fill>
    <fill>
      <patternFill patternType="solid">
        <fgColor rgb="FFFFC7CE"/>
        <bgColor rgb="FFFFC7CE"/>
      </patternFill>
    </fill>
    <fill>
      <patternFill patternType="solid">
        <fgColor rgb="FFD8D8D8"/>
        <bgColor rgb="FFD8D8D8"/>
      </patternFill>
    </fill>
  </fills>
  <borders count="39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20" fillId="0" borderId="23"/>
  </cellStyleXfs>
  <cellXfs count="184">
    <xf numFmtId="0" fontId="0" fillId="0" borderId="0" xfId="0"/>
    <xf numFmtId="0" fontId="2" fillId="0" borderId="0" xfId="0" applyFont="1"/>
    <xf numFmtId="0" fontId="3" fillId="0" borderId="0" xfId="0" applyFont="1"/>
    <xf numFmtId="0" fontId="4" fillId="4" borderId="1" xfId="0" applyFont="1" applyFill="1" applyBorder="1"/>
    <xf numFmtId="0" fontId="2" fillId="0" borderId="2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9" fontId="1" fillId="0" borderId="0" xfId="0" applyNumberFormat="1" applyFont="1"/>
    <xf numFmtId="44" fontId="1" fillId="0" borderId="6" xfId="0" applyNumberFormat="1" applyFont="1" applyBorder="1"/>
    <xf numFmtId="44" fontId="1" fillId="0" borderId="7" xfId="0" applyNumberFormat="1" applyFont="1" applyBorder="1"/>
    <xf numFmtId="44" fontId="1" fillId="0" borderId="0" xfId="0" applyNumberFormat="1" applyFont="1"/>
    <xf numFmtId="44" fontId="1" fillId="3" borderId="7" xfId="0" applyNumberFormat="1" applyFont="1" applyFill="1" applyBorder="1"/>
    <xf numFmtId="44" fontId="1" fillId="3" borderId="6" xfId="0" applyNumberFormat="1" applyFont="1" applyFill="1" applyBorder="1"/>
    <xf numFmtId="44" fontId="1" fillId="3" borderId="1" xfId="0" applyNumberFormat="1" applyFont="1" applyFill="1" applyBorder="1"/>
    <xf numFmtId="44" fontId="2" fillId="0" borderId="0" xfId="0" applyNumberFormat="1" applyFont="1"/>
    <xf numFmtId="164" fontId="1" fillId="0" borderId="0" xfId="0" applyNumberFormat="1" applyFont="1"/>
    <xf numFmtId="0" fontId="2" fillId="3" borderId="5" xfId="0" applyFont="1" applyFill="1" applyBorder="1"/>
    <xf numFmtId="0" fontId="2" fillId="5" borderId="1" xfId="0" applyFont="1" applyFill="1" applyBorder="1"/>
    <xf numFmtId="0" fontId="2" fillId="0" borderId="8" xfId="0" applyFont="1" applyBorder="1"/>
    <xf numFmtId="44" fontId="1" fillId="0" borderId="9" xfId="0" applyNumberFormat="1" applyFont="1" applyBorder="1"/>
    <xf numFmtId="44" fontId="1" fillId="5" borderId="9" xfId="0" applyNumberFormat="1" applyFont="1" applyFill="1" applyBorder="1"/>
    <xf numFmtId="14" fontId="1" fillId="3" borderId="1" xfId="0" applyNumberFormat="1" applyFont="1" applyFill="1" applyBorder="1"/>
    <xf numFmtId="44" fontId="1" fillId="6" borderId="1" xfId="0" applyNumberFormat="1" applyFont="1" applyFill="1" applyBorder="1"/>
    <xf numFmtId="14" fontId="1" fillId="0" borderId="0" xfId="0" applyNumberFormat="1" applyFont="1"/>
    <xf numFmtId="0" fontId="1" fillId="0" borderId="0" xfId="0" applyFont="1"/>
    <xf numFmtId="0" fontId="6" fillId="0" borderId="0" xfId="0" applyFont="1"/>
    <xf numFmtId="165" fontId="1" fillId="0" borderId="0" xfId="0" applyNumberFormat="1" applyFont="1"/>
    <xf numFmtId="0" fontId="1" fillId="8" borderId="1" xfId="0" applyFont="1" applyFill="1" applyBorder="1"/>
    <xf numFmtId="0" fontId="1" fillId="0" borderId="16" xfId="0" applyFont="1" applyBorder="1"/>
    <xf numFmtId="166" fontId="1" fillId="0" borderId="13" xfId="0" applyNumberFormat="1" applyFont="1" applyBorder="1"/>
    <xf numFmtId="14" fontId="8" fillId="10" borderId="1" xfId="0" applyNumberFormat="1" applyFont="1" applyFill="1" applyBorder="1"/>
    <xf numFmtId="166" fontId="1" fillId="0" borderId="0" xfId="0" applyNumberFormat="1" applyFont="1"/>
    <xf numFmtId="0" fontId="1" fillId="12" borderId="1" xfId="0" applyFont="1" applyFill="1" applyBorder="1"/>
    <xf numFmtId="166" fontId="1" fillId="12" borderId="1" xfId="0" applyNumberFormat="1" applyFont="1" applyFill="1" applyBorder="1"/>
    <xf numFmtId="0" fontId="1" fillId="3" borderId="1" xfId="0" applyFont="1" applyFill="1" applyBorder="1"/>
    <xf numFmtId="14" fontId="1" fillId="3" borderId="1" xfId="0" applyNumberFormat="1" applyFont="1" applyFill="1" applyBorder="1" applyAlignment="1">
      <alignment horizontal="right"/>
    </xf>
    <xf numFmtId="14" fontId="1" fillId="0" borderId="0" xfId="0" applyNumberFormat="1" applyFont="1" applyAlignment="1">
      <alignment horizontal="right"/>
    </xf>
    <xf numFmtId="0" fontId="1" fillId="12" borderId="18" xfId="0" applyFont="1" applyFill="1" applyBorder="1"/>
    <xf numFmtId="14" fontId="1" fillId="3" borderId="18" xfId="0" applyNumberFormat="1" applyFont="1" applyFill="1" applyBorder="1" applyAlignment="1">
      <alignment horizontal="right"/>
    </xf>
    <xf numFmtId="0" fontId="1" fillId="3" borderId="18" xfId="0" applyFont="1" applyFill="1" applyBorder="1"/>
    <xf numFmtId="166" fontId="1" fillId="0" borderId="16" xfId="0" applyNumberFormat="1" applyFont="1" applyBorder="1"/>
    <xf numFmtId="166" fontId="1" fillId="12" borderId="19" xfId="0" applyNumberFormat="1" applyFont="1" applyFill="1" applyBorder="1"/>
    <xf numFmtId="0" fontId="1" fillId="12" borderId="11" xfId="0" applyFont="1" applyFill="1" applyBorder="1"/>
    <xf numFmtId="14" fontId="1" fillId="0" borderId="20" xfId="0" applyNumberFormat="1" applyFont="1" applyBorder="1"/>
    <xf numFmtId="0" fontId="1" fillId="0" borderId="20" xfId="0" applyFont="1" applyBorder="1"/>
    <xf numFmtId="166" fontId="1" fillId="0" borderId="20" xfId="0" applyNumberFormat="1" applyFont="1" applyBorder="1"/>
    <xf numFmtId="0" fontId="4" fillId="0" borderId="0" xfId="0" applyFont="1"/>
    <xf numFmtId="14" fontId="1" fillId="0" borderId="16" xfId="0" applyNumberFormat="1" applyFont="1" applyBorder="1"/>
    <xf numFmtId="14" fontId="9" fillId="0" borderId="0" xfId="0" applyNumberFormat="1" applyFont="1" applyAlignment="1">
      <alignment horizontal="right"/>
    </xf>
    <xf numFmtId="166" fontId="9" fillId="0" borderId="0" xfId="0" applyNumberFormat="1" applyFont="1"/>
    <xf numFmtId="0" fontId="1" fillId="13" borderId="1" xfId="0" applyFont="1" applyFill="1" applyBorder="1"/>
    <xf numFmtId="166" fontId="1" fillId="13" borderId="1" xfId="0" applyNumberFormat="1" applyFont="1" applyFill="1" applyBorder="1"/>
    <xf numFmtId="0" fontId="1" fillId="2" borderId="1" xfId="0" applyFont="1" applyFill="1" applyBorder="1"/>
    <xf numFmtId="44" fontId="1" fillId="12" borderId="1" xfId="0" applyNumberFormat="1" applyFont="1" applyFill="1" applyBorder="1"/>
    <xf numFmtId="0" fontId="10" fillId="0" borderId="0" xfId="0" applyFont="1"/>
    <xf numFmtId="0" fontId="1" fillId="2" borderId="18" xfId="0" applyFont="1" applyFill="1" applyBorder="1"/>
    <xf numFmtId="14" fontId="1" fillId="0" borderId="16" xfId="0" applyNumberFormat="1" applyFont="1" applyBorder="1" applyAlignment="1">
      <alignment horizontal="right"/>
    </xf>
    <xf numFmtId="44" fontId="1" fillId="12" borderId="15" xfId="0" applyNumberFormat="1" applyFont="1" applyFill="1" applyBorder="1"/>
    <xf numFmtId="44" fontId="1" fillId="12" borderId="19" xfId="0" applyNumberFormat="1" applyFont="1" applyFill="1" applyBorder="1"/>
    <xf numFmtId="0" fontId="1" fillId="2" borderId="11" xfId="0" applyFont="1" applyFill="1" applyBorder="1"/>
    <xf numFmtId="44" fontId="1" fillId="12" borderId="12" xfId="0" applyNumberFormat="1" applyFont="1" applyFill="1" applyBorder="1"/>
    <xf numFmtId="166" fontId="1" fillId="5" borderId="1" xfId="0" applyNumberFormat="1" applyFont="1" applyFill="1" applyBorder="1"/>
    <xf numFmtId="0" fontId="11" fillId="0" borderId="0" xfId="0" applyFont="1" applyAlignment="1">
      <alignment horizontal="center"/>
    </xf>
    <xf numFmtId="0" fontId="4" fillId="12" borderId="1" xfId="0" applyFont="1" applyFill="1" applyBorder="1"/>
    <xf numFmtId="166" fontId="4" fillId="12" borderId="1" xfId="0" applyNumberFormat="1" applyFont="1" applyFill="1" applyBorder="1"/>
    <xf numFmtId="0" fontId="12" fillId="14" borderId="1" xfId="0" applyFont="1" applyFill="1" applyBorder="1"/>
    <xf numFmtId="0" fontId="1" fillId="0" borderId="17" xfId="0" applyFont="1" applyBorder="1"/>
    <xf numFmtId="8" fontId="1" fillId="0" borderId="0" xfId="0" applyNumberFormat="1" applyFont="1"/>
    <xf numFmtId="0" fontId="12" fillId="14" borderId="18" xfId="0" applyFont="1" applyFill="1" applyBorder="1"/>
    <xf numFmtId="166" fontId="1" fillId="12" borderId="18" xfId="0" applyNumberFormat="1" applyFont="1" applyFill="1" applyBorder="1"/>
    <xf numFmtId="0" fontId="1" fillId="0" borderId="13" xfId="0" applyFont="1" applyBorder="1"/>
    <xf numFmtId="0" fontId="2" fillId="0" borderId="20" xfId="0" applyFont="1" applyBorder="1"/>
    <xf numFmtId="166" fontId="1" fillId="12" borderId="11" xfId="0" applyNumberFormat="1" applyFont="1" applyFill="1" applyBorder="1"/>
    <xf numFmtId="0" fontId="1" fillId="0" borderId="14" xfId="0" applyFont="1" applyBorder="1"/>
    <xf numFmtId="14" fontId="1" fillId="0" borderId="20" xfId="0" applyNumberFormat="1" applyFont="1" applyBorder="1" applyAlignment="1">
      <alignment horizontal="right"/>
    </xf>
    <xf numFmtId="0" fontId="1" fillId="12" borderId="24" xfId="0" applyFont="1" applyFill="1" applyBorder="1"/>
    <xf numFmtId="0" fontId="1" fillId="12" borderId="25" xfId="0" applyFont="1" applyFill="1" applyBorder="1"/>
    <xf numFmtId="0" fontId="1" fillId="12" borderId="10" xfId="0" applyFont="1" applyFill="1" applyBorder="1"/>
    <xf numFmtId="166" fontId="1" fillId="15" borderId="18" xfId="0" applyNumberFormat="1" applyFont="1" applyFill="1" applyBorder="1"/>
    <xf numFmtId="166" fontId="1" fillId="15" borderId="1" xfId="0" applyNumberFormat="1" applyFont="1" applyFill="1" applyBorder="1"/>
    <xf numFmtId="44" fontId="1" fillId="0" borderId="20" xfId="0" applyNumberFormat="1" applyFont="1" applyBorder="1"/>
    <xf numFmtId="14" fontId="1" fillId="4" borderId="1" xfId="0" applyNumberFormat="1" applyFont="1" applyFill="1" applyBorder="1"/>
    <xf numFmtId="166" fontId="1" fillId="7" borderId="1" xfId="0" applyNumberFormat="1" applyFont="1" applyFill="1" applyBorder="1"/>
    <xf numFmtId="44" fontId="1" fillId="0" borderId="16" xfId="0" applyNumberFormat="1" applyFont="1" applyBorder="1"/>
    <xf numFmtId="0" fontId="2" fillId="0" borderId="16" xfId="0" applyFont="1" applyBorder="1"/>
    <xf numFmtId="14" fontId="1" fillId="3" borderId="11" xfId="0" applyNumberFormat="1" applyFont="1" applyFill="1" applyBorder="1"/>
    <xf numFmtId="0" fontId="1" fillId="3" borderId="11" xfId="0" applyFont="1" applyFill="1" applyBorder="1"/>
    <xf numFmtId="14" fontId="1" fillId="4" borderId="11" xfId="0" applyNumberFormat="1" applyFont="1" applyFill="1" applyBorder="1"/>
    <xf numFmtId="166" fontId="1" fillId="7" borderId="18" xfId="0" applyNumberFormat="1" applyFont="1" applyFill="1" applyBorder="1"/>
    <xf numFmtId="166" fontId="1" fillId="15" borderId="11" xfId="0" applyNumberFormat="1" applyFont="1" applyFill="1" applyBorder="1"/>
    <xf numFmtId="14" fontId="4" fillId="0" borderId="0" xfId="0" applyNumberFormat="1" applyFont="1"/>
    <xf numFmtId="166" fontId="4" fillId="0" borderId="0" xfId="0" applyNumberFormat="1" applyFont="1"/>
    <xf numFmtId="44" fontId="1" fillId="0" borderId="0" xfId="0" applyNumberFormat="1" applyFont="1" applyAlignment="1">
      <alignment horizontal="left"/>
    </xf>
    <xf numFmtId="44" fontId="6" fillId="0" borderId="0" xfId="0" applyNumberFormat="1" applyFont="1"/>
    <xf numFmtId="16" fontId="1" fillId="0" borderId="0" xfId="0" applyNumberFormat="1" applyFont="1"/>
    <xf numFmtId="0" fontId="1" fillId="12" borderId="23" xfId="0" applyFont="1" applyFill="1" applyBorder="1"/>
    <xf numFmtId="14" fontId="1" fillId="0" borderId="23" xfId="0" applyNumberFormat="1" applyFont="1" applyBorder="1"/>
    <xf numFmtId="0" fontId="1" fillId="0" borderId="23" xfId="0" applyFont="1" applyBorder="1"/>
    <xf numFmtId="166" fontId="1" fillId="0" borderId="23" xfId="0" applyNumberFormat="1" applyFont="1" applyBorder="1"/>
    <xf numFmtId="166" fontId="1" fillId="15" borderId="23" xfId="0" applyNumberFormat="1" applyFont="1" applyFill="1" applyBorder="1"/>
    <xf numFmtId="166" fontId="1" fillId="12" borderId="23" xfId="0" applyNumberFormat="1" applyFont="1" applyFill="1" applyBorder="1"/>
    <xf numFmtId="0" fontId="1" fillId="0" borderId="19" xfId="0" applyFont="1" applyBorder="1"/>
    <xf numFmtId="0" fontId="1" fillId="12" borderId="26" xfId="0" applyFont="1" applyFill="1" applyBorder="1"/>
    <xf numFmtId="0" fontId="1" fillId="12" borderId="27" xfId="0" applyFont="1" applyFill="1" applyBorder="1"/>
    <xf numFmtId="14" fontId="1" fillId="3" borderId="27" xfId="0" applyNumberFormat="1" applyFont="1" applyFill="1" applyBorder="1" applyAlignment="1">
      <alignment horizontal="right"/>
    </xf>
    <xf numFmtId="0" fontId="1" fillId="3" borderId="27" xfId="0" applyFont="1" applyFill="1" applyBorder="1"/>
    <xf numFmtId="166" fontId="1" fillId="0" borderId="27" xfId="0" applyNumberFormat="1" applyFont="1" applyBorder="1"/>
    <xf numFmtId="166" fontId="1" fillId="15" borderId="27" xfId="0" applyNumberFormat="1" applyFont="1" applyFill="1" applyBorder="1"/>
    <xf numFmtId="166" fontId="1" fillId="12" borderId="27" xfId="0" applyNumberFormat="1" applyFont="1" applyFill="1" applyBorder="1"/>
    <xf numFmtId="0" fontId="0" fillId="0" borderId="27" xfId="0" applyBorder="1"/>
    <xf numFmtId="0" fontId="0" fillId="0" borderId="28" xfId="0" applyBorder="1"/>
    <xf numFmtId="0" fontId="1" fillId="12" borderId="29" xfId="0" applyFont="1" applyFill="1" applyBorder="1"/>
    <xf numFmtId="0" fontId="1" fillId="0" borderId="30" xfId="0" applyFont="1" applyBorder="1"/>
    <xf numFmtId="14" fontId="1" fillId="3" borderId="23" xfId="0" applyNumberFormat="1" applyFont="1" applyFill="1" applyBorder="1" applyAlignment="1">
      <alignment horizontal="right"/>
    </xf>
    <xf numFmtId="0" fontId="1" fillId="3" borderId="23" xfId="0" applyFont="1" applyFill="1" applyBorder="1"/>
    <xf numFmtId="0" fontId="0" fillId="0" borderId="23" xfId="0" applyBorder="1"/>
    <xf numFmtId="0" fontId="0" fillId="0" borderId="30" xfId="0" applyBorder="1"/>
    <xf numFmtId="0" fontId="1" fillId="12" borderId="31" xfId="0" applyFont="1" applyFill="1" applyBorder="1"/>
    <xf numFmtId="0" fontId="1" fillId="12" borderId="32" xfId="0" applyFont="1" applyFill="1" applyBorder="1"/>
    <xf numFmtId="14" fontId="1" fillId="3" borderId="32" xfId="0" applyNumberFormat="1" applyFont="1" applyFill="1" applyBorder="1" applyAlignment="1">
      <alignment horizontal="right"/>
    </xf>
    <xf numFmtId="0" fontId="1" fillId="3" borderId="32" xfId="0" applyFont="1" applyFill="1" applyBorder="1"/>
    <xf numFmtId="166" fontId="1" fillId="0" borderId="32" xfId="0" applyNumberFormat="1" applyFont="1" applyBorder="1"/>
    <xf numFmtId="166" fontId="1" fillId="15" borderId="32" xfId="0" applyNumberFormat="1" applyFont="1" applyFill="1" applyBorder="1"/>
    <xf numFmtId="166" fontId="1" fillId="12" borderId="32" xfId="0" applyNumberFormat="1" applyFont="1" applyFill="1" applyBorder="1"/>
    <xf numFmtId="0" fontId="1" fillId="0" borderId="32" xfId="0" applyFont="1" applyBorder="1"/>
    <xf numFmtId="0" fontId="1" fillId="0" borderId="33" xfId="0" applyFont="1" applyBorder="1"/>
    <xf numFmtId="14" fontId="1" fillId="0" borderId="23" xfId="0" applyNumberFormat="1" applyFont="1" applyBorder="1" applyAlignment="1">
      <alignment horizontal="right"/>
    </xf>
    <xf numFmtId="0" fontId="2" fillId="0" borderId="23" xfId="0" applyFont="1" applyBorder="1"/>
    <xf numFmtId="0" fontId="1" fillId="0" borderId="27" xfId="0" applyFont="1" applyBorder="1"/>
    <xf numFmtId="0" fontId="1" fillId="8" borderId="23" xfId="0" applyFont="1" applyFill="1" applyBorder="1"/>
    <xf numFmtId="14" fontId="1" fillId="0" borderId="32" xfId="0" applyNumberFormat="1" applyFont="1" applyBorder="1" applyAlignment="1">
      <alignment horizontal="right"/>
    </xf>
    <xf numFmtId="0" fontId="2" fillId="0" borderId="32" xfId="0" applyFont="1" applyBorder="1"/>
    <xf numFmtId="0" fontId="0" fillId="0" borderId="32" xfId="0" applyBorder="1"/>
    <xf numFmtId="0" fontId="0" fillId="0" borderId="33" xfId="0" applyBorder="1"/>
    <xf numFmtId="14" fontId="1" fillId="0" borderId="32" xfId="0" applyNumberFormat="1" applyFont="1" applyBorder="1"/>
    <xf numFmtId="14" fontId="0" fillId="0" borderId="0" xfId="0" applyNumberFormat="1"/>
    <xf numFmtId="14" fontId="1" fillId="0" borderId="27" xfId="0" applyNumberFormat="1" applyFont="1" applyBorder="1"/>
    <xf numFmtId="166" fontId="15" fillId="12" borderId="27" xfId="0" applyNumberFormat="1" applyFont="1" applyFill="1" applyBorder="1"/>
    <xf numFmtId="0" fontId="16" fillId="0" borderId="27" xfId="0" applyFont="1" applyBorder="1"/>
    <xf numFmtId="0" fontId="1" fillId="0" borderId="1" xfId="0" applyFont="1" applyBorder="1"/>
    <xf numFmtId="166" fontId="1" fillId="0" borderId="18" xfId="0" applyNumberFormat="1" applyFont="1" applyBorder="1"/>
    <xf numFmtId="44" fontId="1" fillId="0" borderId="23" xfId="0" applyNumberFormat="1" applyFont="1" applyBorder="1"/>
    <xf numFmtId="166" fontId="7" fillId="11" borderId="35" xfId="0" applyNumberFormat="1" applyFont="1" applyFill="1" applyBorder="1"/>
    <xf numFmtId="0" fontId="1" fillId="0" borderId="36" xfId="0" applyFont="1" applyBorder="1"/>
    <xf numFmtId="0" fontId="1" fillId="0" borderId="37" xfId="0" applyFont="1" applyBorder="1"/>
    <xf numFmtId="166" fontId="7" fillId="11" borderId="34" xfId="0" applyNumberFormat="1" applyFont="1" applyFill="1" applyBorder="1"/>
    <xf numFmtId="44" fontId="1" fillId="0" borderId="36" xfId="0" applyNumberFormat="1" applyFont="1" applyBorder="1"/>
    <xf numFmtId="14" fontId="7" fillId="9" borderId="38" xfId="0" applyNumberFormat="1" applyFont="1" applyFill="1" applyBorder="1"/>
    <xf numFmtId="14" fontId="1" fillId="0" borderId="36" xfId="0" applyNumberFormat="1" applyFont="1" applyBorder="1"/>
    <xf numFmtId="15" fontId="7" fillId="9" borderId="38" xfId="0" applyNumberFormat="1" applyFont="1" applyFill="1" applyBorder="1"/>
    <xf numFmtId="0" fontId="6" fillId="0" borderId="36" xfId="0" applyFont="1" applyBorder="1"/>
    <xf numFmtId="166" fontId="1" fillId="0" borderId="1" xfId="0" applyNumberFormat="1" applyFont="1" applyBorder="1"/>
    <xf numFmtId="0" fontId="6" fillId="0" borderId="23" xfId="0" applyFont="1" applyBorder="1"/>
    <xf numFmtId="166" fontId="19" fillId="0" borderId="0" xfId="0" applyNumberFormat="1" applyFont="1"/>
    <xf numFmtId="0" fontId="19" fillId="0" borderId="0" xfId="0" applyFont="1"/>
    <xf numFmtId="0" fontId="20" fillId="0" borderId="0" xfId="0" applyFont="1"/>
    <xf numFmtId="165" fontId="1" fillId="0" borderId="23" xfId="0" applyNumberFormat="1" applyFont="1" applyBorder="1"/>
    <xf numFmtId="44" fontId="4" fillId="0" borderId="23" xfId="0" applyNumberFormat="1" applyFont="1" applyBorder="1"/>
    <xf numFmtId="0" fontId="10" fillId="0" borderId="23" xfId="0" applyFont="1" applyBorder="1"/>
    <xf numFmtId="0" fontId="4" fillId="0" borderId="23" xfId="0" applyFont="1" applyBorder="1"/>
    <xf numFmtId="14" fontId="1" fillId="13" borderId="1" xfId="0" applyNumberFormat="1" applyFont="1" applyFill="1" applyBorder="1"/>
    <xf numFmtId="0" fontId="21" fillId="0" borderId="0" xfId="0" applyFont="1"/>
    <xf numFmtId="0" fontId="21" fillId="0" borderId="23" xfId="0" applyFont="1" applyBorder="1"/>
    <xf numFmtId="0" fontId="19" fillId="0" borderId="1" xfId="0" applyFont="1" applyBorder="1"/>
    <xf numFmtId="14" fontId="22" fillId="0" borderId="1" xfId="0" applyNumberFormat="1" applyFont="1" applyBorder="1"/>
    <xf numFmtId="0" fontId="18" fillId="0" borderId="20" xfId="0" applyFont="1" applyBorder="1"/>
    <xf numFmtId="0" fontId="18" fillId="0" borderId="0" xfId="0" applyFont="1"/>
    <xf numFmtId="0" fontId="23" fillId="0" borderId="0" xfId="0" applyFont="1"/>
    <xf numFmtId="0" fontId="4" fillId="13" borderId="1" xfId="0" applyFont="1" applyFill="1" applyBorder="1"/>
    <xf numFmtId="0" fontId="1" fillId="12" borderId="23" xfId="1" applyFont="1" applyFill="1"/>
    <xf numFmtId="166" fontId="1" fillId="12" borderId="23" xfId="1" applyNumberFormat="1" applyFont="1" applyFill="1"/>
    <xf numFmtId="0" fontId="1" fillId="3" borderId="23" xfId="1" applyFont="1" applyFill="1"/>
    <xf numFmtId="14" fontId="1" fillId="3" borderId="23" xfId="1" applyNumberFormat="1" applyFont="1" applyFill="1" applyAlignment="1">
      <alignment horizontal="right"/>
    </xf>
    <xf numFmtId="166" fontId="1" fillId="15" borderId="23" xfId="1" applyNumberFormat="1" applyFont="1" applyFill="1"/>
    <xf numFmtId="166" fontId="1" fillId="0" borderId="23" xfId="1" applyNumberFormat="1" applyFont="1"/>
    <xf numFmtId="0" fontId="1" fillId="12" borderId="29" xfId="1" applyFont="1" applyFill="1" applyBorder="1"/>
    <xf numFmtId="166" fontId="4" fillId="12" borderId="21" xfId="0" applyNumberFormat="1" applyFont="1" applyFill="1" applyBorder="1" applyAlignment="1">
      <alignment horizontal="center"/>
    </xf>
    <xf numFmtId="0" fontId="5" fillId="0" borderId="22" xfId="0" applyFont="1" applyBorder="1"/>
    <xf numFmtId="0" fontId="5" fillId="0" borderId="23" xfId="0" applyFont="1" applyBorder="1"/>
  </cellXfs>
  <cellStyles count="2">
    <cellStyle name="Normal" xfId="0" builtinId="0"/>
    <cellStyle name="Normal 2" xfId="1" xr:uid="{90FE0DA1-BF26-4475-B6E2-FA7A47D8E3BC}"/>
  </cellStyles>
  <dxfs count="1">
    <dxf>
      <fill>
        <patternFill patternType="solid">
          <fgColor rgb="FF00B050"/>
          <bgColor rgb="FF00B050"/>
        </patternFill>
      </fill>
    </dxf>
  </dxfs>
  <tableStyles count="1" defaultTableStyle="TableStyleMedium2" defaultPivotStyle="PivotStyleLight16">
    <tableStyle name="Invisible" pivot="0" table="0" count="0" xr9:uid="{D498A82E-7212-449E-81E6-897040D4E8F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1000"/>
  <sheetViews>
    <sheetView zoomScale="70" zoomScaleNormal="7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L25" sqref="L25"/>
    </sheetView>
  </sheetViews>
  <sheetFormatPr defaultColWidth="12.54296875" defaultRowHeight="15" customHeight="1" x14ac:dyDescent="0.25"/>
  <cols>
    <col min="1" max="3" width="9.1796875" customWidth="1"/>
    <col min="4" max="5" width="14.81640625" customWidth="1"/>
    <col min="6" max="6" width="11.54296875" customWidth="1"/>
    <col min="7" max="7" width="12.1796875" customWidth="1"/>
    <col min="8" max="9" width="12.54296875" customWidth="1"/>
    <col min="10" max="10" width="16.81640625" customWidth="1"/>
    <col min="11" max="14" width="15.54296875" customWidth="1"/>
    <col min="15" max="15" width="8.453125" customWidth="1"/>
    <col min="16" max="16" width="15.1796875" customWidth="1"/>
    <col min="17" max="26" width="9.1796875" customWidth="1"/>
  </cols>
  <sheetData>
    <row r="1" spans="1:26" ht="14.5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5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5" x14ac:dyDescent="0.35">
      <c r="A3" s="1"/>
      <c r="B3" s="1"/>
      <c r="C3" s="1"/>
      <c r="D3" s="1" t="s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5" x14ac:dyDescent="0.35">
      <c r="A4" s="1"/>
      <c r="B4" s="1"/>
      <c r="C4" s="1"/>
      <c r="D4" s="1" t="s">
        <v>1</v>
      </c>
      <c r="E4" s="1">
        <v>21141554</v>
      </c>
      <c r="F4" s="1" t="s">
        <v>38</v>
      </c>
      <c r="G4" s="1">
        <v>122000496</v>
      </c>
      <c r="H4" s="1" t="s">
        <v>2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5" x14ac:dyDescent="0.35">
      <c r="A5" s="1"/>
      <c r="B5" s="1"/>
      <c r="C5" s="1"/>
      <c r="D5" s="1"/>
      <c r="E5" s="1"/>
      <c r="F5" s="1" t="s">
        <v>39</v>
      </c>
      <c r="G5" s="1">
        <v>2451048793</v>
      </c>
      <c r="H5" s="3" t="s">
        <v>3</v>
      </c>
      <c r="I5" s="3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5" x14ac:dyDescent="0.35">
      <c r="A6" s="1"/>
      <c r="B6" s="1"/>
      <c r="C6" s="4"/>
      <c r="D6" s="5">
        <v>2614</v>
      </c>
      <c r="E6" s="6"/>
      <c r="F6" s="5">
        <v>932</v>
      </c>
      <c r="G6" s="6"/>
      <c r="H6" s="5">
        <v>5436</v>
      </c>
      <c r="I6" s="6"/>
      <c r="J6" s="7" t="s">
        <v>4</v>
      </c>
      <c r="K6" s="8" t="s">
        <v>5</v>
      </c>
      <c r="L6" s="1" t="s">
        <v>6</v>
      </c>
      <c r="M6" s="1" t="s">
        <v>7</v>
      </c>
      <c r="N6" s="1" t="s">
        <v>8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5" x14ac:dyDescent="0.35">
      <c r="A7" s="1"/>
      <c r="B7" s="1"/>
      <c r="C7" s="9" t="s">
        <v>9</v>
      </c>
      <c r="D7" s="10">
        <v>1</v>
      </c>
      <c r="E7" s="11"/>
      <c r="F7" s="10">
        <v>2</v>
      </c>
      <c r="G7" s="11"/>
      <c r="H7" s="10">
        <v>3</v>
      </c>
      <c r="I7" s="11"/>
      <c r="J7" s="10"/>
      <c r="K7" s="1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5" x14ac:dyDescent="0.35">
      <c r="A8" s="1"/>
      <c r="B8" s="1" t="s">
        <v>11</v>
      </c>
      <c r="C8" s="9"/>
      <c r="D8" s="10" t="s">
        <v>12</v>
      </c>
      <c r="E8" s="11" t="s">
        <v>13</v>
      </c>
      <c r="F8" s="10" t="s">
        <v>12</v>
      </c>
      <c r="G8" s="11" t="s">
        <v>13</v>
      </c>
      <c r="H8" s="10" t="s">
        <v>12</v>
      </c>
      <c r="I8" s="11" t="s">
        <v>13</v>
      </c>
      <c r="J8" s="10"/>
      <c r="K8" s="1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5" x14ac:dyDescent="0.35">
      <c r="A9" s="1"/>
      <c r="B9" s="12">
        <v>0.02</v>
      </c>
      <c r="C9" s="9" t="s">
        <v>14</v>
      </c>
      <c r="D9" s="13"/>
      <c r="E9" s="14"/>
      <c r="F9" s="13"/>
      <c r="G9" s="14"/>
      <c r="H9" s="13"/>
      <c r="I9" s="14"/>
      <c r="J9" s="13"/>
      <c r="K9" s="14">
        <v>136.5</v>
      </c>
      <c r="L9" s="15"/>
      <c r="M9" s="15"/>
      <c r="N9" s="15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5" x14ac:dyDescent="0.35">
      <c r="A10" s="1"/>
      <c r="B10" s="12">
        <v>0.02</v>
      </c>
      <c r="C10" s="9" t="s">
        <v>15</v>
      </c>
      <c r="D10" s="13">
        <v>48.42</v>
      </c>
      <c r="E10" s="16">
        <f t="shared" ref="E10:E35" si="0">D10/$B10</f>
        <v>2421</v>
      </c>
      <c r="F10" s="13">
        <v>63</v>
      </c>
      <c r="G10" s="16">
        <f t="shared" ref="G10:G35" si="1">F10/$B10</f>
        <v>3150</v>
      </c>
      <c r="H10" s="13">
        <v>77.7</v>
      </c>
      <c r="I10" s="16">
        <f t="shared" ref="I10:I35" si="2">H10/$B10</f>
        <v>3885</v>
      </c>
      <c r="J10" s="17">
        <f t="shared" ref="J10:J35" si="3">K10/$B10</f>
        <v>9456</v>
      </c>
      <c r="K10" s="16">
        <f>H10+D10+F10</f>
        <v>189.12</v>
      </c>
      <c r="L10" s="18"/>
      <c r="M10" s="18"/>
      <c r="N10" s="18"/>
      <c r="O10" s="1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5" x14ac:dyDescent="0.35">
      <c r="A11" s="1"/>
      <c r="B11" s="12">
        <v>0.02</v>
      </c>
      <c r="C11" s="9" t="s">
        <v>16</v>
      </c>
      <c r="D11" s="13">
        <v>43.75</v>
      </c>
      <c r="E11" s="16">
        <f t="shared" si="0"/>
        <v>2187.5</v>
      </c>
      <c r="F11" s="13">
        <v>63</v>
      </c>
      <c r="G11" s="16">
        <f t="shared" si="1"/>
        <v>3150</v>
      </c>
      <c r="H11" s="13">
        <v>77.7</v>
      </c>
      <c r="I11" s="16">
        <f t="shared" si="2"/>
        <v>3885</v>
      </c>
      <c r="J11" s="17">
        <f t="shared" si="3"/>
        <v>9222.5</v>
      </c>
      <c r="K11" s="16">
        <f>H11+D11+F11</f>
        <v>184.45</v>
      </c>
      <c r="L11" s="18"/>
      <c r="M11" s="18"/>
      <c r="N11" s="18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5" x14ac:dyDescent="0.35">
      <c r="A12" s="1"/>
      <c r="B12" s="12">
        <v>0.02</v>
      </c>
      <c r="C12" s="9" t="s">
        <v>17</v>
      </c>
      <c r="D12" s="13">
        <v>75</v>
      </c>
      <c r="E12" s="16">
        <f t="shared" si="0"/>
        <v>3750</v>
      </c>
      <c r="F12" s="13">
        <v>63</v>
      </c>
      <c r="G12" s="16">
        <f t="shared" si="1"/>
        <v>3150</v>
      </c>
      <c r="H12" s="13">
        <v>77.7</v>
      </c>
      <c r="I12" s="16">
        <f t="shared" si="2"/>
        <v>3885</v>
      </c>
      <c r="J12" s="17">
        <f t="shared" si="3"/>
        <v>10785</v>
      </c>
      <c r="K12" s="16">
        <f>H12+D12+F12</f>
        <v>215.7</v>
      </c>
      <c r="L12" s="18"/>
      <c r="M12" s="18"/>
      <c r="N12" s="18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5" x14ac:dyDescent="0.35">
      <c r="A13" s="1"/>
      <c r="B13" s="12">
        <v>0.02</v>
      </c>
      <c r="C13" s="9" t="s">
        <v>18</v>
      </c>
      <c r="D13" s="13">
        <v>90.16</v>
      </c>
      <c r="E13" s="16">
        <f t="shared" si="0"/>
        <v>4508</v>
      </c>
      <c r="F13" s="13">
        <v>56.82</v>
      </c>
      <c r="G13" s="16">
        <f t="shared" si="1"/>
        <v>2841</v>
      </c>
      <c r="H13" s="13">
        <v>70.48</v>
      </c>
      <c r="I13" s="16">
        <f t="shared" si="2"/>
        <v>3524</v>
      </c>
      <c r="J13" s="17">
        <f t="shared" si="3"/>
        <v>10872.999999999998</v>
      </c>
      <c r="K13" s="16">
        <f>H13+D13+F13</f>
        <v>217.45999999999998</v>
      </c>
      <c r="L13" s="18"/>
      <c r="M13" s="18"/>
      <c r="N13" s="18"/>
      <c r="O13" s="1" t="s">
        <v>19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5" x14ac:dyDescent="0.35">
      <c r="A14" s="1"/>
      <c r="B14" s="20">
        <v>1.7999999999999999E-2</v>
      </c>
      <c r="C14" s="9" t="s">
        <v>20</v>
      </c>
      <c r="D14" s="13">
        <v>45.08</v>
      </c>
      <c r="E14" s="16">
        <f t="shared" si="0"/>
        <v>2504.4444444444443</v>
      </c>
      <c r="F14" s="13">
        <v>56.82</v>
      </c>
      <c r="G14" s="16">
        <f t="shared" si="1"/>
        <v>3156.666666666667</v>
      </c>
      <c r="H14" s="13">
        <v>63.16</v>
      </c>
      <c r="I14" s="16">
        <f t="shared" si="2"/>
        <v>3508.8888888888891</v>
      </c>
      <c r="J14" s="17">
        <f t="shared" si="3"/>
        <v>9170</v>
      </c>
      <c r="K14" s="16">
        <f>H14+D14+F14</f>
        <v>165.06</v>
      </c>
      <c r="L14" s="18"/>
      <c r="M14" s="18"/>
      <c r="N14" s="18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5" x14ac:dyDescent="0.35">
      <c r="A15" s="1"/>
      <c r="B15" s="20">
        <v>1.7999999999999999E-2</v>
      </c>
      <c r="C15" s="21" t="s">
        <v>21</v>
      </c>
      <c r="D15" s="17">
        <f>SUM(D11:D14)</f>
        <v>253.99</v>
      </c>
      <c r="E15" s="16">
        <f t="shared" si="0"/>
        <v>14110.555555555557</v>
      </c>
      <c r="F15" s="17">
        <f>SUM(F11:F14)</f>
        <v>239.64</v>
      </c>
      <c r="G15" s="16">
        <f t="shared" si="1"/>
        <v>13313.333333333334</v>
      </c>
      <c r="H15" s="17">
        <f>SUM(H11:H14)</f>
        <v>289.03999999999996</v>
      </c>
      <c r="I15" s="16">
        <f t="shared" si="2"/>
        <v>16057.777777777777</v>
      </c>
      <c r="J15" s="17">
        <f t="shared" si="3"/>
        <v>0</v>
      </c>
      <c r="K15" s="16"/>
      <c r="L15" s="18"/>
      <c r="M15" s="18"/>
      <c r="N15" s="18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5" x14ac:dyDescent="0.35">
      <c r="A16" s="1"/>
      <c r="B16" s="20">
        <v>1.7999999999999999E-2</v>
      </c>
      <c r="C16" s="9" t="s">
        <v>22</v>
      </c>
      <c r="D16" s="13">
        <v>67.62</v>
      </c>
      <c r="E16" s="16">
        <f t="shared" si="0"/>
        <v>3756.6666666666674</v>
      </c>
      <c r="F16" s="13">
        <v>56.82</v>
      </c>
      <c r="G16" s="16">
        <f t="shared" si="1"/>
        <v>3156.666666666667</v>
      </c>
      <c r="H16" s="13">
        <v>69.930000000000007</v>
      </c>
      <c r="I16" s="16">
        <f t="shared" si="2"/>
        <v>3885.0000000000005</v>
      </c>
      <c r="J16" s="17">
        <f t="shared" si="3"/>
        <v>10798.333333333334</v>
      </c>
      <c r="K16" s="16">
        <f t="shared" ref="K16:K35" si="4">H16+D16+F16</f>
        <v>194.37</v>
      </c>
      <c r="L16" s="18"/>
      <c r="M16" s="18"/>
      <c r="N16" s="18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5" x14ac:dyDescent="0.35">
      <c r="A17" s="1"/>
      <c r="B17" s="20">
        <v>1.7999999999999999E-2</v>
      </c>
      <c r="C17" s="9" t="s">
        <v>23</v>
      </c>
      <c r="D17" s="13">
        <v>67.62</v>
      </c>
      <c r="E17" s="16">
        <f t="shared" si="0"/>
        <v>3756.6666666666674</v>
      </c>
      <c r="F17" s="13">
        <v>56.82</v>
      </c>
      <c r="G17" s="16">
        <f t="shared" si="1"/>
        <v>3156.666666666667</v>
      </c>
      <c r="H17" s="13">
        <v>69.930000000000007</v>
      </c>
      <c r="I17" s="16">
        <f t="shared" si="2"/>
        <v>3885.0000000000005</v>
      </c>
      <c r="J17" s="17">
        <f t="shared" si="3"/>
        <v>10798.333333333334</v>
      </c>
      <c r="K17" s="16">
        <f t="shared" si="4"/>
        <v>194.37</v>
      </c>
      <c r="L17" s="18"/>
      <c r="M17" s="18"/>
      <c r="N17" s="18"/>
      <c r="O17" s="19">
        <f>J17*0.018</f>
        <v>194.37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5" x14ac:dyDescent="0.35">
      <c r="A18" s="1"/>
      <c r="B18" s="20">
        <v>1.7999999999999999E-2</v>
      </c>
      <c r="C18" s="9" t="s">
        <v>24</v>
      </c>
      <c r="D18" s="13">
        <v>76.86</v>
      </c>
      <c r="E18" s="16">
        <f t="shared" si="0"/>
        <v>4270</v>
      </c>
      <c r="F18" s="13">
        <v>58.46</v>
      </c>
      <c r="G18" s="16">
        <f t="shared" si="1"/>
        <v>3247.7777777777783</v>
      </c>
      <c r="H18" s="13">
        <v>71.25</v>
      </c>
      <c r="I18" s="16">
        <f t="shared" si="2"/>
        <v>3958.3333333333335</v>
      </c>
      <c r="J18" s="17">
        <f t="shared" si="3"/>
        <v>11476.111111111113</v>
      </c>
      <c r="K18" s="16">
        <f t="shared" si="4"/>
        <v>206.57000000000002</v>
      </c>
      <c r="L18" s="18"/>
      <c r="M18" s="18"/>
      <c r="N18" s="18"/>
      <c r="O18" s="22" t="s">
        <v>25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5" x14ac:dyDescent="0.35">
      <c r="A19" s="1"/>
      <c r="B19" s="20">
        <v>1.7999999999999999E-2</v>
      </c>
      <c r="C19" s="9" t="s">
        <v>26</v>
      </c>
      <c r="D19" s="13">
        <v>50.22</v>
      </c>
      <c r="E19" s="16">
        <f t="shared" si="0"/>
        <v>2790</v>
      </c>
      <c r="F19" s="13">
        <v>59.09</v>
      </c>
      <c r="G19" s="16">
        <f t="shared" si="1"/>
        <v>3282.7777777777783</v>
      </c>
      <c r="H19" s="13">
        <v>83.54</v>
      </c>
      <c r="I19" s="16">
        <f t="shared" si="2"/>
        <v>4641.1111111111122</v>
      </c>
      <c r="J19" s="17">
        <f t="shared" si="3"/>
        <v>10713.888888888889</v>
      </c>
      <c r="K19" s="16">
        <f t="shared" si="4"/>
        <v>192.85</v>
      </c>
      <c r="L19" s="18"/>
      <c r="M19" s="18"/>
      <c r="N19" s="18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5" x14ac:dyDescent="0.35">
      <c r="A20" s="1"/>
      <c r="B20" s="20">
        <v>1.7999999999999999E-2</v>
      </c>
      <c r="C20" s="9" t="s">
        <v>27</v>
      </c>
      <c r="D20" s="13">
        <v>67.62</v>
      </c>
      <c r="E20" s="16">
        <f t="shared" si="0"/>
        <v>3756.6666666666674</v>
      </c>
      <c r="F20" s="13">
        <v>56.82</v>
      </c>
      <c r="G20" s="16">
        <f t="shared" si="1"/>
        <v>3156.666666666667</v>
      </c>
      <c r="H20" s="13">
        <v>69.930000000000007</v>
      </c>
      <c r="I20" s="16">
        <f t="shared" si="2"/>
        <v>3885.0000000000005</v>
      </c>
      <c r="J20" s="17">
        <f t="shared" si="3"/>
        <v>10798.333333333334</v>
      </c>
      <c r="K20" s="16">
        <f t="shared" si="4"/>
        <v>194.37</v>
      </c>
      <c r="L20" s="18"/>
      <c r="M20" s="18"/>
      <c r="N20" s="18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35">
      <c r="A21" s="1"/>
      <c r="B21" s="20">
        <v>1.7999999999999999E-2</v>
      </c>
      <c r="C21" s="9" t="s">
        <v>28</v>
      </c>
      <c r="D21" s="13">
        <v>68.97</v>
      </c>
      <c r="E21" s="16">
        <f t="shared" si="0"/>
        <v>3831.666666666667</v>
      </c>
      <c r="F21" s="13">
        <v>56.82</v>
      </c>
      <c r="G21" s="16">
        <f t="shared" si="1"/>
        <v>3156.666666666667</v>
      </c>
      <c r="H21" s="13">
        <v>69.930000000000007</v>
      </c>
      <c r="I21" s="16">
        <f t="shared" si="2"/>
        <v>3885.0000000000005</v>
      </c>
      <c r="J21" s="17">
        <f t="shared" si="3"/>
        <v>10873.333333333334</v>
      </c>
      <c r="K21" s="16">
        <f t="shared" si="4"/>
        <v>195.72</v>
      </c>
      <c r="L21" s="18"/>
      <c r="M21" s="18"/>
      <c r="N21" s="18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35">
      <c r="A22" s="1"/>
      <c r="B22" s="20">
        <v>1.7999999999999999E-2</v>
      </c>
      <c r="C22" s="9" t="s">
        <v>29</v>
      </c>
      <c r="D22" s="13">
        <v>78.39</v>
      </c>
      <c r="E22" s="16">
        <f t="shared" si="0"/>
        <v>4355</v>
      </c>
      <c r="F22" s="13">
        <v>56.82</v>
      </c>
      <c r="G22" s="16">
        <f t="shared" si="1"/>
        <v>3156.666666666667</v>
      </c>
      <c r="H22" s="13">
        <v>69.930000000000007</v>
      </c>
      <c r="I22" s="16">
        <f t="shared" si="2"/>
        <v>3885.0000000000005</v>
      </c>
      <c r="J22" s="17">
        <f t="shared" si="3"/>
        <v>11396.666666666666</v>
      </c>
      <c r="K22" s="16">
        <f t="shared" si="4"/>
        <v>205.14</v>
      </c>
      <c r="L22" s="18"/>
      <c r="M22" s="18"/>
      <c r="N22" s="18"/>
      <c r="O22" s="1" t="s">
        <v>30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35">
      <c r="A23" s="1"/>
      <c r="B23" s="20">
        <v>1.7999999999999999E-2</v>
      </c>
      <c r="C23" s="9" t="s">
        <v>31</v>
      </c>
      <c r="D23" s="13">
        <v>100.66</v>
      </c>
      <c r="E23" s="16">
        <f t="shared" si="0"/>
        <v>5592.2222222222226</v>
      </c>
      <c r="F23" s="13">
        <v>56.82</v>
      </c>
      <c r="G23" s="16">
        <f t="shared" si="1"/>
        <v>3156.666666666667</v>
      </c>
      <c r="H23" s="13">
        <f>23.31+3.35</f>
        <v>26.66</v>
      </c>
      <c r="I23" s="16">
        <f t="shared" si="2"/>
        <v>1481.1111111111113</v>
      </c>
      <c r="J23" s="17">
        <f t="shared" si="3"/>
        <v>10230</v>
      </c>
      <c r="K23" s="16">
        <f t="shared" si="4"/>
        <v>184.14</v>
      </c>
      <c r="L23" s="15"/>
      <c r="M23" s="18"/>
      <c r="N23" s="18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35">
      <c r="A24" s="1"/>
      <c r="B24" s="20">
        <v>1.7999999999999999E-2</v>
      </c>
      <c r="C24" s="9" t="str">
        <f>LEFT(C20, 2)&amp;"'17"</f>
        <v>Q1'17</v>
      </c>
      <c r="D24" s="13">
        <v>70.2</v>
      </c>
      <c r="E24" s="16">
        <f t="shared" si="0"/>
        <v>3900.0000000000005</v>
      </c>
      <c r="F24" s="13">
        <v>59.09</v>
      </c>
      <c r="G24" s="16">
        <f t="shared" si="1"/>
        <v>3282.7777777777783</v>
      </c>
      <c r="H24" s="13">
        <v>102.98</v>
      </c>
      <c r="I24" s="16">
        <f t="shared" si="2"/>
        <v>5721.1111111111113</v>
      </c>
      <c r="J24" s="17">
        <f t="shared" si="3"/>
        <v>12903.888888888891</v>
      </c>
      <c r="K24" s="16">
        <f t="shared" si="4"/>
        <v>232.27</v>
      </c>
      <c r="L24" s="15">
        <v>290.66000000000003</v>
      </c>
      <c r="M24" s="18"/>
      <c r="N24" s="18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35">
      <c r="A25" s="1"/>
      <c r="B25" s="20">
        <v>1.7999999999999999E-2</v>
      </c>
      <c r="C25" s="9" t="str">
        <f>LEFT(C21, 2)&amp;"'17"</f>
        <v>Q2'17</v>
      </c>
      <c r="D25" s="13">
        <v>74.790000000000006</v>
      </c>
      <c r="E25" s="16">
        <f t="shared" si="0"/>
        <v>4155.0000000000009</v>
      </c>
      <c r="F25" s="13">
        <v>59.45</v>
      </c>
      <c r="G25" s="16">
        <f t="shared" si="1"/>
        <v>3302.7777777777783</v>
      </c>
      <c r="H25" s="13">
        <v>75.33</v>
      </c>
      <c r="I25" s="16">
        <f t="shared" si="2"/>
        <v>4185</v>
      </c>
      <c r="J25" s="17">
        <f t="shared" si="3"/>
        <v>11642.777777777777</v>
      </c>
      <c r="K25" s="16">
        <f t="shared" si="4"/>
        <v>209.57</v>
      </c>
      <c r="L25" s="15">
        <v>209.57</v>
      </c>
      <c r="M25" s="18"/>
      <c r="N25" s="18"/>
      <c r="O25" s="1" t="s">
        <v>32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35">
      <c r="A26" s="1"/>
      <c r="B26" s="20">
        <v>1.7999999999999999E-2</v>
      </c>
      <c r="C26" s="9" t="str">
        <f>LEFT(C22, 2)&amp;"'17"</f>
        <v>Q3'17</v>
      </c>
      <c r="D26" s="13">
        <v>88.65</v>
      </c>
      <c r="E26" s="16">
        <f t="shared" si="0"/>
        <v>4925.0000000000009</v>
      </c>
      <c r="F26" s="13">
        <f>19.28+41.77</f>
        <v>61.050000000000004</v>
      </c>
      <c r="G26" s="16">
        <f t="shared" si="1"/>
        <v>3391.666666666667</v>
      </c>
      <c r="H26" s="13">
        <v>75.33</v>
      </c>
      <c r="I26" s="16">
        <f t="shared" si="2"/>
        <v>4185</v>
      </c>
      <c r="J26" s="17">
        <f t="shared" si="3"/>
        <v>12501.66666666667</v>
      </c>
      <c r="K26" s="16">
        <f t="shared" si="4"/>
        <v>225.03000000000003</v>
      </c>
      <c r="L26" s="15">
        <v>225.03</v>
      </c>
      <c r="M26" s="18"/>
      <c r="N26" s="18"/>
      <c r="O26" s="1"/>
      <c r="P26" s="1" t="s">
        <v>33</v>
      </c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35">
      <c r="A27" s="1"/>
      <c r="B27" s="20">
        <v>1.7999999999999999E-2</v>
      </c>
      <c r="C27" s="23" t="str">
        <f>LEFT(C23, 2)&amp;"'17"</f>
        <v>Q4'17</v>
      </c>
      <c r="D27" s="24">
        <v>73.8</v>
      </c>
      <c r="E27" s="16">
        <f t="shared" si="0"/>
        <v>4100</v>
      </c>
      <c r="F27" s="24">
        <v>63.18</v>
      </c>
      <c r="G27" s="16">
        <f t="shared" si="1"/>
        <v>3510.0000000000005</v>
      </c>
      <c r="H27" s="24">
        <v>75.33</v>
      </c>
      <c r="I27" s="16">
        <f t="shared" si="2"/>
        <v>4185</v>
      </c>
      <c r="J27" s="17">
        <f t="shared" si="3"/>
        <v>11795.000000000002</v>
      </c>
      <c r="K27" s="16">
        <f t="shared" si="4"/>
        <v>212.31</v>
      </c>
      <c r="L27" s="15">
        <v>212.31</v>
      </c>
      <c r="M27" s="18"/>
      <c r="N27" s="18"/>
      <c r="O27" s="1" t="s">
        <v>34</v>
      </c>
      <c r="P27" s="19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35">
      <c r="A28" s="1"/>
      <c r="B28" s="20">
        <v>1.7999999999999999E-2</v>
      </c>
      <c r="C28" s="23" t="str">
        <f>LEFT(C24, 2)&amp;"'18"</f>
        <v>Q1'18</v>
      </c>
      <c r="D28" s="24">
        <v>77.67</v>
      </c>
      <c r="E28" s="16">
        <f t="shared" si="0"/>
        <v>4315</v>
      </c>
      <c r="F28" s="24">
        <v>63.18</v>
      </c>
      <c r="G28" s="16">
        <f t="shared" si="1"/>
        <v>3510.0000000000005</v>
      </c>
      <c r="H28" s="24">
        <v>75.33</v>
      </c>
      <c r="I28" s="16">
        <f t="shared" si="2"/>
        <v>4185</v>
      </c>
      <c r="J28" s="17">
        <f t="shared" si="3"/>
        <v>12010.000000000002</v>
      </c>
      <c r="K28" s="16">
        <f t="shared" si="4"/>
        <v>216.18</v>
      </c>
      <c r="L28" s="15">
        <v>216.18</v>
      </c>
      <c r="M28" s="18"/>
      <c r="N28" s="18"/>
      <c r="O28" s="1"/>
      <c r="P28" s="1" t="s">
        <v>35</v>
      </c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35">
      <c r="A29" s="1"/>
      <c r="B29" s="20">
        <v>1.7999999999999999E-2</v>
      </c>
      <c r="C29" s="23" t="str">
        <f>LEFT(C25, 2)&amp;"'18"</f>
        <v>Q2'18</v>
      </c>
      <c r="D29" s="24">
        <v>77.67</v>
      </c>
      <c r="E29" s="16">
        <f t="shared" si="0"/>
        <v>4315</v>
      </c>
      <c r="F29" s="24">
        <v>63.18</v>
      </c>
      <c r="G29" s="16">
        <f t="shared" si="1"/>
        <v>3510.0000000000005</v>
      </c>
      <c r="H29" s="24">
        <v>75.33</v>
      </c>
      <c r="I29" s="16">
        <f t="shared" si="2"/>
        <v>4185</v>
      </c>
      <c r="J29" s="17">
        <f t="shared" si="3"/>
        <v>12010.000000000002</v>
      </c>
      <c r="K29" s="16">
        <f t="shared" si="4"/>
        <v>216.18</v>
      </c>
      <c r="L29" s="15">
        <v>216.18</v>
      </c>
      <c r="M29" s="18"/>
      <c r="N29" s="18"/>
      <c r="O29" s="1"/>
      <c r="P29" s="1" t="s">
        <v>36</v>
      </c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35">
      <c r="A30" s="1"/>
      <c r="B30" s="20">
        <v>1.7999999999999999E-2</v>
      </c>
      <c r="C30" s="23" t="str">
        <f>LEFT(C26, 2)&amp;"'18"</f>
        <v>Q3'18</v>
      </c>
      <c r="D30" s="25">
        <f>64.26+49.5</f>
        <v>113.76</v>
      </c>
      <c r="E30" s="16">
        <f t="shared" si="0"/>
        <v>6320.0000000000009</v>
      </c>
      <c r="F30" s="24">
        <v>63.18</v>
      </c>
      <c r="G30" s="16">
        <f t="shared" si="1"/>
        <v>3510.0000000000005</v>
      </c>
      <c r="H30" s="24">
        <v>75.33</v>
      </c>
      <c r="I30" s="16">
        <f t="shared" si="2"/>
        <v>4185</v>
      </c>
      <c r="J30" s="17">
        <f t="shared" si="3"/>
        <v>14015.000000000002</v>
      </c>
      <c r="K30" s="16">
        <f t="shared" si="4"/>
        <v>252.27</v>
      </c>
      <c r="L30" s="15">
        <v>252.27</v>
      </c>
      <c r="M30" s="26">
        <v>43381</v>
      </c>
      <c r="N30" s="26">
        <v>43381</v>
      </c>
      <c r="O30" s="1"/>
      <c r="P30" s="1" t="s">
        <v>37</v>
      </c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35">
      <c r="A31" s="1"/>
      <c r="B31" s="20">
        <v>1.7999999999999999E-2</v>
      </c>
      <c r="C31" s="23" t="str">
        <f>LEFT(C27, 2)&amp;"'18"</f>
        <v>Q4'18</v>
      </c>
      <c r="D31" s="24">
        <v>30.51</v>
      </c>
      <c r="E31" s="16">
        <f t="shared" si="0"/>
        <v>1695.0000000000002</v>
      </c>
      <c r="F31" s="24">
        <v>63.18</v>
      </c>
      <c r="G31" s="16">
        <f t="shared" si="1"/>
        <v>3510.0000000000005</v>
      </c>
      <c r="H31" s="24">
        <v>75.33</v>
      </c>
      <c r="I31" s="16">
        <f t="shared" si="2"/>
        <v>4185</v>
      </c>
      <c r="J31" s="17">
        <f t="shared" si="3"/>
        <v>9390.0000000000018</v>
      </c>
      <c r="K31" s="16">
        <f t="shared" si="4"/>
        <v>169.02</v>
      </c>
      <c r="L31" s="15">
        <v>169.02</v>
      </c>
      <c r="M31" s="26">
        <v>43471</v>
      </c>
      <c r="N31" s="26"/>
      <c r="O31" s="1"/>
      <c r="P31" s="1" t="s">
        <v>37</v>
      </c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35">
      <c r="A32" s="1"/>
      <c r="B32" s="20">
        <v>1.7999999999999999E-2</v>
      </c>
      <c r="C32" s="23" t="str">
        <f>LEFT(C28, 2)&amp;"'19"</f>
        <v>Q1'19</v>
      </c>
      <c r="D32" s="24">
        <v>78.680000000000007</v>
      </c>
      <c r="E32" s="16">
        <f t="shared" si="0"/>
        <v>4371.1111111111122</v>
      </c>
      <c r="F32" s="24">
        <v>63.18</v>
      </c>
      <c r="G32" s="16">
        <f t="shared" si="1"/>
        <v>3510.0000000000005</v>
      </c>
      <c r="H32" s="24">
        <v>74</v>
      </c>
      <c r="I32" s="16">
        <f t="shared" si="2"/>
        <v>4111.1111111111113</v>
      </c>
      <c r="J32" s="17">
        <f t="shared" si="3"/>
        <v>11992.222222222224</v>
      </c>
      <c r="K32" s="16">
        <f t="shared" si="4"/>
        <v>215.86</v>
      </c>
      <c r="L32" s="27">
        <v>215.86</v>
      </c>
      <c r="M32" s="26">
        <v>43558</v>
      </c>
      <c r="N32" s="26">
        <v>43558</v>
      </c>
      <c r="O32" s="1"/>
      <c r="P32" s="1" t="s">
        <v>37</v>
      </c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35">
      <c r="A33" s="1"/>
      <c r="B33" s="20">
        <v>1.7999999999999999E-2</v>
      </c>
      <c r="C33" s="23" t="str">
        <f>LEFT(C29, 2)&amp;"'"&amp;RIGHT(C32, 2)</f>
        <v>Q2'19</v>
      </c>
      <c r="D33" s="24">
        <v>54.72</v>
      </c>
      <c r="E33" s="16">
        <f t="shared" si="0"/>
        <v>3040</v>
      </c>
      <c r="F33" s="24">
        <v>63.18</v>
      </c>
      <c r="G33" s="16">
        <f t="shared" si="1"/>
        <v>3510.0000000000005</v>
      </c>
      <c r="H33" s="24">
        <v>74</v>
      </c>
      <c r="I33" s="16">
        <f t="shared" si="2"/>
        <v>4111.1111111111113</v>
      </c>
      <c r="J33" s="17">
        <f t="shared" si="3"/>
        <v>10661.111111111113</v>
      </c>
      <c r="K33" s="16">
        <f t="shared" si="4"/>
        <v>191.9</v>
      </c>
      <c r="L33" s="15"/>
      <c r="M33" s="26"/>
      <c r="N33" s="26"/>
      <c r="O33" s="1"/>
      <c r="P33" s="1" t="s">
        <v>37</v>
      </c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35">
      <c r="A34" s="1"/>
      <c r="B34" s="20">
        <v>1.7999999999999999E-2</v>
      </c>
      <c r="C34" s="23" t="str">
        <f>LEFT(C30, 2)&amp;"'"&amp;RIGHT(C33, 2)</f>
        <v>Q3'19</v>
      </c>
      <c r="D34" s="24"/>
      <c r="E34" s="16">
        <f t="shared" si="0"/>
        <v>0</v>
      </c>
      <c r="F34" s="24"/>
      <c r="G34" s="16">
        <f t="shared" si="1"/>
        <v>0</v>
      </c>
      <c r="H34" s="24"/>
      <c r="I34" s="16">
        <f t="shared" si="2"/>
        <v>0</v>
      </c>
      <c r="J34" s="17">
        <f t="shared" si="3"/>
        <v>0</v>
      </c>
      <c r="K34" s="16">
        <f t="shared" si="4"/>
        <v>0</v>
      </c>
      <c r="L34" s="15"/>
      <c r="M34" s="26"/>
      <c r="N34" s="26"/>
      <c r="O34" s="1"/>
      <c r="P34" s="1" t="s">
        <v>37</v>
      </c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35">
      <c r="A35" s="1"/>
      <c r="B35" s="20">
        <v>1.7999999999999999E-2</v>
      </c>
      <c r="C35" s="23" t="str">
        <f>LEFT(C31, 2)&amp;"'"&amp;RIGHT(C34, 2)</f>
        <v>Q4'19</v>
      </c>
      <c r="D35" s="24"/>
      <c r="E35" s="16">
        <f t="shared" si="0"/>
        <v>0</v>
      </c>
      <c r="F35" s="24"/>
      <c r="G35" s="16">
        <f t="shared" si="1"/>
        <v>0</v>
      </c>
      <c r="H35" s="24"/>
      <c r="I35" s="16">
        <f t="shared" si="2"/>
        <v>0</v>
      </c>
      <c r="J35" s="17">
        <f t="shared" si="3"/>
        <v>0</v>
      </c>
      <c r="K35" s="16">
        <f t="shared" si="4"/>
        <v>0</v>
      </c>
      <c r="L35" s="15"/>
      <c r="M35" s="26"/>
      <c r="N35" s="26"/>
      <c r="O35" s="1"/>
      <c r="P35" s="1" t="s">
        <v>37</v>
      </c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conditionalFormatting sqref="L23:L35">
    <cfRule type="cellIs" dxfId="0" priority="1" operator="equal">
      <formula>K23</formula>
    </cfRule>
  </conditionalFormatting>
  <pageMargins left="0.7" right="0.7" top="0.75" bottom="0.75" header="0" footer="0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1000"/>
  <sheetViews>
    <sheetView zoomScaleNormal="100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4296875" defaultRowHeight="15" customHeight="1" x14ac:dyDescent="0.25"/>
  <cols>
    <col min="1" max="1" width="8.1796875" customWidth="1"/>
    <col min="2" max="2" width="4.81640625" customWidth="1"/>
    <col min="3" max="3" width="8.453125" customWidth="1"/>
    <col min="4" max="4" width="10.1796875" customWidth="1"/>
    <col min="5" max="5" width="36.1796875" customWidth="1"/>
    <col min="6" max="6" width="13.453125" customWidth="1"/>
    <col min="7" max="8" width="14.81640625" customWidth="1"/>
    <col min="9" max="9" width="16.81640625" customWidth="1"/>
    <col min="10" max="10" width="12.1796875" customWidth="1"/>
    <col min="11" max="11" width="11.54296875" customWidth="1"/>
    <col min="12" max="12" width="10.1796875" customWidth="1"/>
    <col min="13" max="26" width="8.54296875" customWidth="1"/>
  </cols>
  <sheetData>
    <row r="1" spans="1:10" ht="12.75" customHeight="1" x14ac:dyDescent="0.25">
      <c r="C1" t="s">
        <v>123</v>
      </c>
      <c r="E1" s="102" t="s">
        <v>125</v>
      </c>
      <c r="F1" s="102"/>
      <c r="G1" s="148" t="s">
        <v>119</v>
      </c>
      <c r="H1" s="34"/>
      <c r="I1" s="145"/>
      <c r="J1" s="120"/>
    </row>
    <row r="2" spans="1:10" ht="12.75" customHeight="1" x14ac:dyDescent="0.25">
      <c r="E2" s="102" t="s">
        <v>146</v>
      </c>
      <c r="F2" s="146"/>
      <c r="G2" s="149">
        <v>3</v>
      </c>
      <c r="H2" s="103"/>
      <c r="I2" s="151" t="s">
        <v>41</v>
      </c>
      <c r="J2" s="102"/>
    </row>
    <row r="3" spans="1:10" ht="12.75" customHeight="1" x14ac:dyDescent="0.35">
      <c r="A3" s="30">
        <f>COUNTIF(A5:A65407, "&lt;&gt;")+4</f>
        <v>81</v>
      </c>
      <c r="B3">
        <f>MAX(B5:B853)</f>
        <v>2022</v>
      </c>
      <c r="D3" s="35" cm="1">
        <f t="array" ref="D3">INDEX(D5:D65406, A3)</f>
        <v>0</v>
      </c>
      <c r="E3" s="120"/>
      <c r="F3" s="103"/>
      <c r="G3" s="147" t="s">
        <v>40</v>
      </c>
      <c r="H3" s="150" cm="1">
        <f t="array" ref="H3">INDEX(H5:H65406, A3)</f>
        <v>0</v>
      </c>
      <c r="I3" s="152">
        <v>45695</v>
      </c>
      <c r="J3" s="103"/>
    </row>
    <row r="4" spans="1:10" ht="12.75" customHeight="1" x14ac:dyDescent="0.25">
      <c r="A4" s="37" t="s">
        <v>43</v>
      </c>
      <c r="B4" s="37" t="s">
        <v>10</v>
      </c>
      <c r="C4" s="37" t="s">
        <v>53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3">
      <c r="A5" s="55">
        <f>MONTH(D5)</f>
        <v>12</v>
      </c>
      <c r="B5" s="55">
        <f>YEAR(D5)</f>
        <v>2019</v>
      </c>
      <c r="C5" s="55" t="str">
        <f>IFERROR("Rent: "&amp;FIND("Rent",E5),IFERROR("Priv Tax: "&amp;FIND("Tax",E5), IFERROR("Income: "&amp;FIND("Payment",E5,1),"")))</f>
        <v/>
      </c>
      <c r="D5" s="165">
        <v>43830</v>
      </c>
      <c r="E5" s="173" t="s">
        <v>151</v>
      </c>
      <c r="F5" s="56"/>
      <c r="G5" s="56"/>
      <c r="H5" s="56"/>
    </row>
    <row r="6" spans="1:10" ht="12.75" customHeight="1" x14ac:dyDescent="0.3">
      <c r="A6" s="166" t="s">
        <v>120</v>
      </c>
      <c r="C6" s="166"/>
      <c r="D6" s="166" t="s">
        <v>121</v>
      </c>
    </row>
    <row r="7" spans="1:10" ht="12.75" customHeight="1" x14ac:dyDescent="0.25">
      <c r="A7" s="37">
        <f t="shared" ref="A7:A29" si="0">MONTH(D7)</f>
        <v>1</v>
      </c>
      <c r="B7" s="37">
        <f t="shared" ref="B7:B29" si="1">YEAR(D7)</f>
        <v>2020</v>
      </c>
      <c r="C7" s="37" t="str">
        <f t="shared" ref="C7:C29" si="2">IFERROR("Rent: "&amp;FIND("Rent",E7),IFERROR("Priv Tax: "&amp;FIND("Tax",E7), IFERROR("Income: "&amp;FIND("Payment",E7,1),"")))</f>
        <v>Income: 1</v>
      </c>
      <c r="D7" s="28">
        <v>43860</v>
      </c>
      <c r="E7" s="30" t="s">
        <v>51</v>
      </c>
      <c r="F7" s="36">
        <v>500</v>
      </c>
      <c r="G7" s="36"/>
      <c r="H7" s="46">
        <f>H5+G7-F7</f>
        <v>-500</v>
      </c>
    </row>
    <row r="8" spans="1:10" ht="12.75" customHeight="1" x14ac:dyDescent="0.25">
      <c r="A8" s="37">
        <f t="shared" si="0"/>
        <v>2</v>
      </c>
      <c r="B8" s="37">
        <f t="shared" si="1"/>
        <v>2020</v>
      </c>
      <c r="C8" s="37" t="str">
        <f t="shared" si="2"/>
        <v>Rent: 1</v>
      </c>
      <c r="D8" s="40">
        <v>43869</v>
      </c>
      <c r="E8" s="39" t="str">
        <f>"Rent: "&amp;LOOKUP(A8-1, Months, TextMonths)&amp;" '"&amp;B8</f>
        <v>Rent: Feb '2020</v>
      </c>
      <c r="F8" s="36"/>
      <c r="G8" s="36">
        <v>4950</v>
      </c>
      <c r="H8" s="46">
        <f t="shared" ref="H8:H67" si="3">H7+G8-F8</f>
        <v>4450</v>
      </c>
    </row>
    <row r="9" spans="1:10" ht="12.75" customHeight="1" x14ac:dyDescent="0.25">
      <c r="A9" s="37">
        <f t="shared" si="0"/>
        <v>2</v>
      </c>
      <c r="B9" s="37">
        <f t="shared" si="1"/>
        <v>2020</v>
      </c>
      <c r="C9" s="37" t="str">
        <f t="shared" si="2"/>
        <v/>
      </c>
      <c r="D9" s="40">
        <f>D8</f>
        <v>43869</v>
      </c>
      <c r="E9" s="39" t="s">
        <v>49</v>
      </c>
      <c r="F9" s="36"/>
      <c r="G9" s="36">
        <v>4950</v>
      </c>
      <c r="H9" s="46">
        <f t="shared" si="3"/>
        <v>9400</v>
      </c>
    </row>
    <row r="10" spans="1:10" ht="12" customHeight="1" x14ac:dyDescent="0.25">
      <c r="A10" s="37">
        <f t="shared" si="0"/>
        <v>2</v>
      </c>
      <c r="B10" s="37">
        <f t="shared" si="1"/>
        <v>2020</v>
      </c>
      <c r="C10" s="37" t="str">
        <f t="shared" si="2"/>
        <v/>
      </c>
      <c r="D10" s="40">
        <f>D9</f>
        <v>43869</v>
      </c>
      <c r="E10" s="39" t="s">
        <v>55</v>
      </c>
      <c r="F10" s="36"/>
      <c r="G10" s="36">
        <v>500</v>
      </c>
      <c r="H10" s="46">
        <f t="shared" si="3"/>
        <v>9900</v>
      </c>
    </row>
    <row r="11" spans="1:10" ht="12.75" customHeight="1" x14ac:dyDescent="0.25">
      <c r="A11" s="37">
        <f t="shared" si="0"/>
        <v>2</v>
      </c>
      <c r="B11" s="37">
        <f t="shared" si="1"/>
        <v>2020</v>
      </c>
      <c r="C11" s="37" t="str">
        <f t="shared" si="2"/>
        <v>Income: 1</v>
      </c>
      <c r="D11" s="28">
        <v>43880</v>
      </c>
      <c r="E11" s="30" t="s">
        <v>51</v>
      </c>
      <c r="F11" s="36">
        <v>9900</v>
      </c>
      <c r="G11" s="36"/>
      <c r="H11" s="46">
        <f t="shared" si="3"/>
        <v>0</v>
      </c>
    </row>
    <row r="12" spans="1:10" ht="12" customHeight="1" x14ac:dyDescent="0.25">
      <c r="A12" s="37">
        <f t="shared" si="0"/>
        <v>3</v>
      </c>
      <c r="B12" s="37">
        <f t="shared" si="1"/>
        <v>2020</v>
      </c>
      <c r="C12" s="37" t="str">
        <f t="shared" si="2"/>
        <v>Rent: 1</v>
      </c>
      <c r="D12" s="40" t="str">
        <f>MOD(MONTH(D10)+1, 12) &amp; "/8/" &amp; YEAR(D11)</f>
        <v>3/8/2020</v>
      </c>
      <c r="E12" s="39" t="str">
        <f>"Rent: "&amp;LOOKUP(A12-1, Months, TextMonths)&amp;" '"&amp;B12</f>
        <v>Rent: Mar '2020</v>
      </c>
      <c r="F12" s="36"/>
      <c r="G12" s="36">
        <v>4950</v>
      </c>
      <c r="H12" s="46">
        <f t="shared" si="3"/>
        <v>4950</v>
      </c>
    </row>
    <row r="13" spans="1:10" ht="12" customHeight="1" x14ac:dyDescent="0.25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43895</v>
      </c>
      <c r="E13" s="30" t="s">
        <v>51</v>
      </c>
      <c r="F13" s="36">
        <v>4950</v>
      </c>
      <c r="G13" s="36"/>
      <c r="H13" s="46">
        <f t="shared" si="3"/>
        <v>0</v>
      </c>
    </row>
    <row r="14" spans="1:10" ht="12.75" customHeight="1" x14ac:dyDescent="0.25">
      <c r="A14" s="37">
        <f t="shared" si="0"/>
        <v>4</v>
      </c>
      <c r="B14" s="37">
        <f t="shared" si="1"/>
        <v>2020</v>
      </c>
      <c r="C14" s="37" t="str">
        <f t="shared" si="2"/>
        <v>Rent: 1</v>
      </c>
      <c r="D14" s="40" t="str">
        <f>MOD(MONTH(D12)+1, 12) &amp; "/8/" &amp; YEAR(D13)</f>
        <v>4/8/2020</v>
      </c>
      <c r="E14" s="39" t="str">
        <f>"Rent: "&amp;LOOKUP(A14-1, Months, TextMonths)&amp;" '"&amp;B14</f>
        <v>Rent: Apr '2020</v>
      </c>
      <c r="F14" s="36"/>
      <c r="G14" s="36">
        <v>4950</v>
      </c>
      <c r="H14" s="46">
        <f t="shared" si="3"/>
        <v>4950</v>
      </c>
    </row>
    <row r="15" spans="1:10" ht="12.75" customHeight="1" x14ac:dyDescent="0.25">
      <c r="A15" s="37">
        <f t="shared" si="0"/>
        <v>4</v>
      </c>
      <c r="B15" s="37">
        <f t="shared" si="1"/>
        <v>2020</v>
      </c>
      <c r="C15" s="37" t="str">
        <f t="shared" si="2"/>
        <v>Income: 1</v>
      </c>
      <c r="D15" s="28">
        <v>43927</v>
      </c>
      <c r="E15" s="30" t="s">
        <v>51</v>
      </c>
      <c r="F15" s="36">
        <v>4950</v>
      </c>
      <c r="G15" s="36"/>
      <c r="H15" s="46">
        <f t="shared" si="3"/>
        <v>0</v>
      </c>
    </row>
    <row r="16" spans="1:10" ht="12.75" customHeight="1" x14ac:dyDescent="0.25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MOD(MONTH(D14)+1, 12) &amp; "/8/" &amp; YEAR(D15)</f>
        <v>5/8/2020</v>
      </c>
      <c r="E16" s="39" t="str">
        <f>"Rent: "&amp;LOOKUP(A16-1, Months, TextMonths)&amp;" '"&amp;B16</f>
        <v>Rent: May '2020</v>
      </c>
      <c r="F16" s="36"/>
      <c r="G16" s="36">
        <v>4950</v>
      </c>
      <c r="H16" s="46">
        <f t="shared" si="3"/>
        <v>4950</v>
      </c>
    </row>
    <row r="17" spans="1:9" ht="12.75" customHeight="1" x14ac:dyDescent="0.25">
      <c r="A17" s="37">
        <f t="shared" si="0"/>
        <v>5</v>
      </c>
      <c r="B17" s="37">
        <f t="shared" si="1"/>
        <v>2020</v>
      </c>
      <c r="C17" s="37" t="str">
        <f t="shared" si="2"/>
        <v>Income: 1</v>
      </c>
      <c r="D17" s="28">
        <v>43956</v>
      </c>
      <c r="E17" s="30" t="s">
        <v>51</v>
      </c>
      <c r="F17" s="36">
        <v>4950</v>
      </c>
      <c r="G17" s="36"/>
      <c r="H17" s="46">
        <f t="shared" si="3"/>
        <v>0</v>
      </c>
    </row>
    <row r="18" spans="1:9" ht="12.75" customHeight="1" x14ac:dyDescent="0.25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MOD(MONTH(D16)+1, 12) &amp; "/8/" &amp; YEAR(D17)</f>
        <v>6/8/2020</v>
      </c>
      <c r="E18" s="39" t="str">
        <f>"Rent: "&amp;LOOKUP(A18-1, Months, TextMonths)&amp;" '"&amp;B18</f>
        <v>Rent: Jun '2020</v>
      </c>
      <c r="F18" s="36"/>
      <c r="G18" s="36">
        <v>4950</v>
      </c>
      <c r="H18" s="46">
        <f t="shared" si="3"/>
        <v>4950</v>
      </c>
    </row>
    <row r="19" spans="1:9" ht="12.75" customHeight="1" x14ac:dyDescent="0.25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43986</v>
      </c>
      <c r="E19" s="30" t="s">
        <v>51</v>
      </c>
      <c r="F19" s="36">
        <v>4950</v>
      </c>
      <c r="G19" s="36"/>
      <c r="H19" s="46">
        <f t="shared" si="3"/>
        <v>0</v>
      </c>
    </row>
    <row r="20" spans="1:9" ht="12.75" customHeight="1" x14ac:dyDescent="0.25">
      <c r="A20" s="37">
        <f t="shared" si="0"/>
        <v>6</v>
      </c>
      <c r="B20" s="37">
        <f t="shared" si="1"/>
        <v>2020</v>
      </c>
      <c r="C20" s="37" t="str">
        <f t="shared" si="2"/>
        <v/>
      </c>
      <c r="D20" s="28">
        <v>43995</v>
      </c>
      <c r="E20" s="39" t="s">
        <v>56</v>
      </c>
      <c r="F20" s="36">
        <v>873.87</v>
      </c>
      <c r="G20" s="36"/>
      <c r="H20" s="46">
        <f t="shared" si="3"/>
        <v>-873.87</v>
      </c>
    </row>
    <row r="21" spans="1:9" ht="12.75" customHeight="1" x14ac:dyDescent="0.25">
      <c r="A21" s="37">
        <f t="shared" si="0"/>
        <v>7</v>
      </c>
      <c r="B21" s="37">
        <f t="shared" si="1"/>
        <v>2020</v>
      </c>
      <c r="C21" s="37" t="str">
        <f t="shared" si="2"/>
        <v>Rent: 1</v>
      </c>
      <c r="D21" s="40" t="str">
        <f>MOD(MONTH(D19)+1, 12) &amp; "/8/" &amp; YEAR(D20)</f>
        <v>7/8/2020</v>
      </c>
      <c r="E21" s="39" t="str">
        <f>"Rent: "&amp;LOOKUP(A21-1, Months, TextMonths)&amp;" '"&amp;B21</f>
        <v>Rent: Jul '2020</v>
      </c>
      <c r="F21" s="36"/>
      <c r="G21" s="36">
        <v>4950</v>
      </c>
      <c r="H21" s="46">
        <f t="shared" si="3"/>
        <v>4076.13</v>
      </c>
    </row>
    <row r="22" spans="1:9" ht="12.75" customHeight="1" x14ac:dyDescent="0.25">
      <c r="A22" s="37">
        <f t="shared" si="0"/>
        <v>7</v>
      </c>
      <c r="B22" s="37">
        <f t="shared" si="1"/>
        <v>2020</v>
      </c>
      <c r="C22" s="37" t="str">
        <f t="shared" si="2"/>
        <v>Income: 1</v>
      </c>
      <c r="D22" s="28">
        <v>44018</v>
      </c>
      <c r="E22" s="30" t="s">
        <v>51</v>
      </c>
      <c r="F22" s="36">
        <v>4076.13</v>
      </c>
      <c r="G22" s="36"/>
      <c r="H22" s="46">
        <f t="shared" si="3"/>
        <v>0</v>
      </c>
    </row>
    <row r="23" spans="1:9" ht="12.75" customHeight="1" x14ac:dyDescent="0.25">
      <c r="A23" s="37">
        <f t="shared" si="0"/>
        <v>8</v>
      </c>
      <c r="B23" s="37">
        <f t="shared" si="1"/>
        <v>2020</v>
      </c>
      <c r="C23" s="37" t="str">
        <f t="shared" si="2"/>
        <v>Rent: 1</v>
      </c>
      <c r="D23" s="40" t="str">
        <f>MOD(MONTH(D21)+1, 12) &amp; "/8/" &amp; YEAR(D22)</f>
        <v>8/8/2020</v>
      </c>
      <c r="E23" s="39" t="str">
        <f>"Rent: "&amp;LOOKUP(A23-1, Months, TextMonths)&amp;" '"&amp;B23</f>
        <v>Rent: Aug '2020</v>
      </c>
      <c r="F23" s="36"/>
      <c r="G23" s="36">
        <v>4950</v>
      </c>
      <c r="H23" s="46">
        <f t="shared" si="3"/>
        <v>4950</v>
      </c>
    </row>
    <row r="24" spans="1:9" ht="12.75" customHeight="1" x14ac:dyDescent="0.25">
      <c r="A24" s="37">
        <f t="shared" si="0"/>
        <v>8</v>
      </c>
      <c r="B24" s="37">
        <f t="shared" si="1"/>
        <v>2020</v>
      </c>
      <c r="C24" s="37" t="str">
        <f t="shared" si="2"/>
        <v>Income: 1</v>
      </c>
      <c r="D24" s="28">
        <v>44049</v>
      </c>
      <c r="E24" s="30" t="s">
        <v>51</v>
      </c>
      <c r="F24" s="36">
        <v>4950</v>
      </c>
      <c r="G24" s="36"/>
      <c r="H24" s="46">
        <f t="shared" si="3"/>
        <v>0</v>
      </c>
    </row>
    <row r="25" spans="1:9" ht="12.75" customHeight="1" x14ac:dyDescent="0.25">
      <c r="A25" s="37">
        <f t="shared" si="0"/>
        <v>9</v>
      </c>
      <c r="B25" s="37">
        <f t="shared" si="1"/>
        <v>2020</v>
      </c>
      <c r="C25" s="37" t="str">
        <f t="shared" si="2"/>
        <v>Rent: 1</v>
      </c>
      <c r="D25" s="40" t="str">
        <f>MOD(MONTH(D23)+1, 12) &amp; "/8/" &amp; YEAR(D24)</f>
        <v>9/8/2020</v>
      </c>
      <c r="E25" s="39" t="str">
        <f>"Rent: "&amp;LOOKUP(A25-1, Months, TextMonths)&amp;" '"&amp;B25</f>
        <v>Rent: Sep '2020</v>
      </c>
      <c r="F25" s="36"/>
      <c r="G25" s="36">
        <v>4950</v>
      </c>
      <c r="H25" s="46">
        <f t="shared" si="3"/>
        <v>4950</v>
      </c>
    </row>
    <row r="26" spans="1:9" ht="12.75" customHeight="1" x14ac:dyDescent="0.25">
      <c r="A26" s="37">
        <f t="shared" si="0"/>
        <v>9</v>
      </c>
      <c r="B26" s="37">
        <f t="shared" si="1"/>
        <v>2020</v>
      </c>
      <c r="C26" s="37" t="str">
        <f t="shared" si="2"/>
        <v>Income: 1</v>
      </c>
      <c r="D26" s="28">
        <v>44078</v>
      </c>
      <c r="E26" s="30" t="s">
        <v>51</v>
      </c>
      <c r="F26" s="36">
        <v>4950</v>
      </c>
      <c r="G26" s="36"/>
      <c r="H26" s="46">
        <f t="shared" si="3"/>
        <v>0</v>
      </c>
      <c r="I26" s="30"/>
    </row>
    <row r="27" spans="1:9" ht="12.75" customHeight="1" x14ac:dyDescent="0.25">
      <c r="A27" s="37">
        <f t="shared" si="0"/>
        <v>10</v>
      </c>
      <c r="B27" s="37">
        <f t="shared" si="1"/>
        <v>2020</v>
      </c>
      <c r="C27" s="37" t="str">
        <f t="shared" si="2"/>
        <v>Rent: 1</v>
      </c>
      <c r="D27" s="40" t="str">
        <f>MOD(MONTH(D25)+1, 12) &amp; "/8/" &amp; YEAR(D26)</f>
        <v>10/8/2020</v>
      </c>
      <c r="E27" s="39" t="str">
        <f>"Rent: "&amp;LOOKUP(A27-1, Months, TextMonths)&amp;" '"&amp;B27</f>
        <v>Rent: Oct '2020</v>
      </c>
      <c r="F27" s="36"/>
      <c r="G27" s="36">
        <v>4950</v>
      </c>
      <c r="H27" s="46">
        <f t="shared" si="3"/>
        <v>4950</v>
      </c>
    </row>
    <row r="28" spans="1:9" ht="12.75" customHeight="1" x14ac:dyDescent="0.25">
      <c r="A28" s="37">
        <f t="shared" si="0"/>
        <v>10</v>
      </c>
      <c r="B28" s="37">
        <f t="shared" si="1"/>
        <v>2020</v>
      </c>
      <c r="C28" s="37" t="str">
        <f t="shared" si="2"/>
        <v>Income: 1</v>
      </c>
      <c r="D28" s="28">
        <v>44110</v>
      </c>
      <c r="E28" s="30" t="s">
        <v>51</v>
      </c>
      <c r="F28" s="36">
        <v>4950</v>
      </c>
      <c r="G28" s="36"/>
      <c r="H28" s="46">
        <f t="shared" si="3"/>
        <v>0</v>
      </c>
    </row>
    <row r="29" spans="1:9" ht="12.75" customHeight="1" x14ac:dyDescent="0.25">
      <c r="A29" s="37">
        <f t="shared" si="0"/>
        <v>11</v>
      </c>
      <c r="B29" s="37">
        <f t="shared" si="1"/>
        <v>2020</v>
      </c>
      <c r="C29" s="37" t="str">
        <f t="shared" si="2"/>
        <v>Rent: 1</v>
      </c>
      <c r="D29" s="40" t="str">
        <f>MOD(MONTH(D27)+1, 12) &amp; "/8/" &amp; YEAR(D28)</f>
        <v>11/8/2020</v>
      </c>
      <c r="E29" s="39" t="str">
        <f>"Rent: "&amp;LOOKUP(A29-1, Months, TextMonths)&amp;" '"&amp;B29</f>
        <v>Rent: Nov '2020</v>
      </c>
      <c r="F29" s="36"/>
      <c r="G29" s="36">
        <v>4950</v>
      </c>
      <c r="H29" s="46">
        <f t="shared" si="3"/>
        <v>4950</v>
      </c>
    </row>
    <row r="30" spans="1:9" ht="12.75" customHeight="1" x14ac:dyDescent="0.25">
      <c r="A30" s="37">
        <f>MONTH(D30)</f>
        <v>11</v>
      </c>
      <c r="B30" s="37">
        <f>YEAR(D30)</f>
        <v>2020</v>
      </c>
      <c r="C30" s="37"/>
      <c r="D30" s="40" t="str">
        <f>MOD(MONTH(D28)+1, 12) &amp; "/8/" &amp; YEAR(D29)</f>
        <v>11/8/2020</v>
      </c>
      <c r="E30" s="39" t="s">
        <v>57</v>
      </c>
      <c r="F30" s="36"/>
      <c r="G30" s="36">
        <v>350</v>
      </c>
      <c r="H30" s="46">
        <f t="shared" si="3"/>
        <v>5300</v>
      </c>
    </row>
    <row r="31" spans="1:9" ht="12.75" customHeight="1" x14ac:dyDescent="0.25">
      <c r="A31" s="37">
        <f t="shared" ref="A31:A67" si="4">MONTH(D31)</f>
        <v>11</v>
      </c>
      <c r="B31" s="37">
        <f t="shared" ref="B31:B67" si="5">YEAR(D31)</f>
        <v>2020</v>
      </c>
      <c r="C31" s="37" t="str">
        <f t="shared" ref="C31:C67" si="6">IFERROR("Rent: "&amp;FIND("Rent",E31),IFERROR("Priv Tax: "&amp;FIND("Tax",E31), IFERROR("Income: "&amp;FIND("Payment",E31,1),"")))</f>
        <v>Income: 1</v>
      </c>
      <c r="D31" s="28">
        <v>44141</v>
      </c>
      <c r="E31" s="30" t="s">
        <v>51</v>
      </c>
      <c r="F31" s="36">
        <v>5300</v>
      </c>
      <c r="G31" s="36"/>
      <c r="H31" s="46">
        <f t="shared" si="3"/>
        <v>0</v>
      </c>
    </row>
    <row r="32" spans="1:9" ht="12.75" customHeight="1" x14ac:dyDescent="0.25">
      <c r="A32" s="37">
        <f t="shared" si="4"/>
        <v>12</v>
      </c>
      <c r="B32" s="37">
        <f t="shared" si="5"/>
        <v>2020</v>
      </c>
      <c r="C32" s="37" t="str">
        <f t="shared" si="6"/>
        <v>Rent: 1</v>
      </c>
      <c r="D32" s="40" t="str">
        <f>MOD(MONTH(D30)+1, 13) &amp; "/8/" &amp; YEAR(D30)</f>
        <v>12/8/2020</v>
      </c>
      <c r="E32" s="39" t="str">
        <f>"Rent: "&amp;LOOKUP(A32-1, Months, TextMonths)&amp;" '"&amp;B32</f>
        <v>Rent: Dec '2020</v>
      </c>
      <c r="F32" s="36"/>
      <c r="G32" s="36">
        <v>4950</v>
      </c>
      <c r="H32" s="46">
        <f t="shared" si="3"/>
        <v>4950</v>
      </c>
    </row>
    <row r="33" spans="1:13" ht="12.75" customHeight="1" x14ac:dyDescent="0.25">
      <c r="A33" s="37">
        <f t="shared" si="4"/>
        <v>12</v>
      </c>
      <c r="B33" s="37">
        <f t="shared" si="5"/>
        <v>2020</v>
      </c>
      <c r="C33" s="37" t="str">
        <f t="shared" si="6"/>
        <v>Income: 1</v>
      </c>
      <c r="D33" s="28">
        <v>44169</v>
      </c>
      <c r="E33" s="30" t="s">
        <v>51</v>
      </c>
      <c r="F33" s="36">
        <v>4950</v>
      </c>
      <c r="G33" s="36"/>
      <c r="H33" s="46">
        <f t="shared" si="3"/>
        <v>0</v>
      </c>
    </row>
    <row r="34" spans="1:13" ht="12.75" customHeight="1" x14ac:dyDescent="0.25">
      <c r="A34" s="37">
        <f t="shared" si="4"/>
        <v>1</v>
      </c>
      <c r="B34" s="37">
        <f t="shared" si="5"/>
        <v>2020</v>
      </c>
      <c r="C34" s="37" t="str">
        <f t="shared" si="6"/>
        <v>Rent: 1</v>
      </c>
      <c r="D34" s="40" t="str">
        <f>MOD(MONTH(D32)+1, 12) &amp; "/8/" &amp; YEAR(D33)</f>
        <v>1/8/2020</v>
      </c>
      <c r="E34" s="39" t="str">
        <f>"Rent: "&amp;LOOKUP(A34-1, Months, TextMonths)&amp;" '"&amp;B34</f>
        <v>Rent: Jan '2020</v>
      </c>
      <c r="F34" s="36"/>
      <c r="G34" s="36">
        <v>4950</v>
      </c>
      <c r="H34" s="46">
        <f t="shared" si="3"/>
        <v>4950</v>
      </c>
      <c r="I34" s="30"/>
    </row>
    <row r="35" spans="1:13" ht="12.75" customHeight="1" x14ac:dyDescent="0.25">
      <c r="A35" s="37">
        <f t="shared" si="4"/>
        <v>1</v>
      </c>
      <c r="B35" s="37">
        <f t="shared" si="5"/>
        <v>2021</v>
      </c>
      <c r="C35" s="37" t="str">
        <f t="shared" si="6"/>
        <v>Income: 1</v>
      </c>
      <c r="D35" s="28">
        <v>44202</v>
      </c>
      <c r="E35" s="30" t="s">
        <v>51</v>
      </c>
      <c r="F35" s="36">
        <v>4950</v>
      </c>
      <c r="G35" s="36"/>
      <c r="H35" s="46">
        <f t="shared" si="3"/>
        <v>0</v>
      </c>
      <c r="I35" s="15"/>
      <c r="J35" s="30"/>
    </row>
    <row r="36" spans="1:13" ht="12.75" customHeight="1" x14ac:dyDescent="0.25">
      <c r="A36" s="37">
        <f t="shared" si="4"/>
        <v>2</v>
      </c>
      <c r="B36" s="37">
        <f t="shared" si="5"/>
        <v>2021</v>
      </c>
      <c r="C36" s="37" t="str">
        <f t="shared" si="6"/>
        <v>Rent: 1</v>
      </c>
      <c r="D36" s="40" t="str">
        <f>MOD(MONTH(D34)+1, 12) &amp; "/8/" &amp; YEAR(D35)</f>
        <v>2/8/2021</v>
      </c>
      <c r="E36" s="39" t="str">
        <f>"Rent: "&amp;LOOKUP(A36-1, Months, TextMonths)&amp;" '"&amp;B36</f>
        <v>Rent: Feb '2021</v>
      </c>
      <c r="F36" s="36"/>
      <c r="G36" s="36">
        <v>4950</v>
      </c>
      <c r="H36" s="46">
        <f t="shared" si="3"/>
        <v>4950</v>
      </c>
    </row>
    <row r="37" spans="1:13" ht="12.75" customHeight="1" x14ac:dyDescent="0.25">
      <c r="A37" s="37">
        <f t="shared" si="4"/>
        <v>2</v>
      </c>
      <c r="B37" s="37">
        <f t="shared" si="5"/>
        <v>2021</v>
      </c>
      <c r="C37" s="37" t="str">
        <f t="shared" si="6"/>
        <v>Income: 1</v>
      </c>
      <c r="D37" s="28">
        <v>44232</v>
      </c>
      <c r="E37" s="30" t="s">
        <v>51</v>
      </c>
      <c r="F37" s="36">
        <v>4950</v>
      </c>
      <c r="G37" s="36"/>
      <c r="H37" s="46">
        <f t="shared" si="3"/>
        <v>0</v>
      </c>
    </row>
    <row r="38" spans="1:13" ht="12.75" customHeight="1" x14ac:dyDescent="0.25">
      <c r="A38" s="37">
        <f t="shared" si="4"/>
        <v>3</v>
      </c>
      <c r="B38" s="37">
        <f t="shared" si="5"/>
        <v>2021</v>
      </c>
      <c r="C38" s="37" t="str">
        <f t="shared" si="6"/>
        <v>Rent: 1</v>
      </c>
      <c r="D38" s="40" t="str">
        <f>MOD(MONTH(D36)+1, 12) &amp; "/8/" &amp; YEAR(D37)</f>
        <v>3/8/2021</v>
      </c>
      <c r="E38" s="39" t="str">
        <f>"Rent: "&amp;LOOKUP(A38-1, Months, TextMonths)&amp;" '"&amp;B38</f>
        <v>Rent: Mar '2021</v>
      </c>
      <c r="F38" s="36"/>
      <c r="G38" s="36">
        <v>4950</v>
      </c>
      <c r="H38" s="46">
        <f t="shared" si="3"/>
        <v>4950</v>
      </c>
    </row>
    <row r="39" spans="1:13" ht="12.75" customHeight="1" x14ac:dyDescent="0.25">
      <c r="A39" s="37">
        <f t="shared" si="4"/>
        <v>3</v>
      </c>
      <c r="B39" s="37">
        <f t="shared" si="5"/>
        <v>2021</v>
      </c>
      <c r="C39" s="37" t="str">
        <f t="shared" si="6"/>
        <v>Income: 1</v>
      </c>
      <c r="D39" s="28">
        <v>44260</v>
      </c>
      <c r="E39" s="30" t="s">
        <v>51</v>
      </c>
      <c r="F39" s="36">
        <v>4950</v>
      </c>
      <c r="G39" s="36"/>
      <c r="H39" s="46">
        <f t="shared" si="3"/>
        <v>0</v>
      </c>
    </row>
    <row r="40" spans="1:13" ht="12.75" customHeight="1" x14ac:dyDescent="0.25">
      <c r="A40" s="37">
        <f t="shared" si="4"/>
        <v>4</v>
      </c>
      <c r="B40" s="37">
        <f t="shared" si="5"/>
        <v>2021</v>
      </c>
      <c r="C40" s="37" t="str">
        <f t="shared" si="6"/>
        <v>Rent: 1</v>
      </c>
      <c r="D40" s="40" t="str">
        <f>MOD(MONTH(D38)+1, 12) &amp; "/8/" &amp; YEAR(D39)</f>
        <v>4/8/2021</v>
      </c>
      <c r="E40" s="39" t="str">
        <f>"Rent: "&amp;LOOKUP(A40-1, Months, TextMonths)&amp;" '"&amp;B40</f>
        <v>Rent: Apr '2021</v>
      </c>
      <c r="F40" s="36"/>
      <c r="G40" s="36">
        <v>4950</v>
      </c>
      <c r="H40" s="46">
        <f t="shared" si="3"/>
        <v>4950</v>
      </c>
    </row>
    <row r="41" spans="1:13" ht="12.75" customHeight="1" x14ac:dyDescent="0.25">
      <c r="A41" s="37">
        <f t="shared" si="4"/>
        <v>4</v>
      </c>
      <c r="B41" s="37">
        <f t="shared" si="5"/>
        <v>2021</v>
      </c>
      <c r="C41" s="37" t="str">
        <f t="shared" si="6"/>
        <v>Income: 1</v>
      </c>
      <c r="D41" s="28">
        <v>44291</v>
      </c>
      <c r="E41" s="30" t="s">
        <v>51</v>
      </c>
      <c r="F41" s="36">
        <v>4950</v>
      </c>
      <c r="G41" s="36"/>
      <c r="H41" s="46">
        <f t="shared" si="3"/>
        <v>0</v>
      </c>
    </row>
    <row r="42" spans="1:13" ht="12.75" customHeight="1" x14ac:dyDescent="0.25">
      <c r="A42" s="37">
        <f t="shared" si="4"/>
        <v>5</v>
      </c>
      <c r="B42" s="37">
        <f t="shared" si="5"/>
        <v>2021</v>
      </c>
      <c r="C42" s="37" t="str">
        <f t="shared" si="6"/>
        <v>Rent: 1</v>
      </c>
      <c r="D42" s="40" t="str">
        <f>MOD(MONTH(D40)+1, 12) &amp; "/8/" &amp; YEAR(D41)</f>
        <v>5/8/2021</v>
      </c>
      <c r="E42" s="39" t="str">
        <f>"Rent: "&amp;LOOKUP(A42-1, Months, TextMonths)&amp;" '"&amp;B42</f>
        <v>Rent: May '2021</v>
      </c>
      <c r="F42" s="36"/>
      <c r="G42" s="36">
        <v>4950</v>
      </c>
      <c r="H42" s="46">
        <f t="shared" si="3"/>
        <v>4950</v>
      </c>
    </row>
    <row r="43" spans="1:13" ht="12.75" customHeight="1" x14ac:dyDescent="0.25">
      <c r="A43" s="37">
        <f t="shared" si="4"/>
        <v>5</v>
      </c>
      <c r="B43" s="37">
        <f t="shared" si="5"/>
        <v>2021</v>
      </c>
      <c r="C43" s="37" t="str">
        <f t="shared" si="6"/>
        <v>Income: 1</v>
      </c>
      <c r="D43" s="28">
        <v>44321</v>
      </c>
      <c r="E43" s="30" t="s">
        <v>51</v>
      </c>
      <c r="F43" s="36">
        <v>4950</v>
      </c>
      <c r="G43" s="36"/>
      <c r="H43" s="46">
        <f t="shared" si="3"/>
        <v>0</v>
      </c>
    </row>
    <row r="44" spans="1:13" ht="12.75" customHeight="1" x14ac:dyDescent="0.25">
      <c r="A44" s="37">
        <f t="shared" si="4"/>
        <v>6</v>
      </c>
      <c r="B44" s="37">
        <f t="shared" si="5"/>
        <v>2021</v>
      </c>
      <c r="C44" s="37" t="str">
        <f t="shared" si="6"/>
        <v>Rent: 1</v>
      </c>
      <c r="D44" s="40" t="str">
        <f>MOD(MONTH(D42)+1, 12) &amp; "/8/" &amp; YEAR(D43)</f>
        <v>6/8/2021</v>
      </c>
      <c r="E44" s="39" t="str">
        <f>"Rent: "&amp;LOOKUP(A44-1, Months, TextMonths)&amp;" '"&amp;B44</f>
        <v>Rent: Jun '2021</v>
      </c>
      <c r="F44" s="36"/>
      <c r="G44" s="36">
        <v>4950</v>
      </c>
      <c r="H44" s="46">
        <f t="shared" si="3"/>
        <v>4950</v>
      </c>
    </row>
    <row r="45" spans="1:13" ht="12.75" customHeight="1" x14ac:dyDescent="0.25">
      <c r="A45" s="37">
        <f t="shared" si="4"/>
        <v>6</v>
      </c>
      <c r="B45" s="37">
        <f t="shared" si="5"/>
        <v>2021</v>
      </c>
      <c r="C45" s="37" t="str">
        <f t="shared" si="6"/>
        <v>Income: 1</v>
      </c>
      <c r="D45" s="28">
        <v>44354</v>
      </c>
      <c r="E45" s="30" t="s">
        <v>51</v>
      </c>
      <c r="F45" s="36">
        <v>4950</v>
      </c>
      <c r="G45" s="36"/>
      <c r="H45" s="46">
        <f t="shared" si="3"/>
        <v>0</v>
      </c>
    </row>
    <row r="46" spans="1:13" ht="12.75" customHeight="1" x14ac:dyDescent="0.25">
      <c r="A46" s="37">
        <f t="shared" si="4"/>
        <v>7</v>
      </c>
      <c r="B46" s="37">
        <f t="shared" si="5"/>
        <v>2021</v>
      </c>
      <c r="C46" s="37" t="str">
        <f t="shared" si="6"/>
        <v>Rent: 1</v>
      </c>
      <c r="D46" s="40" t="str">
        <f>MOD(MONTH(D44)+1, 12) &amp; "/8/" &amp; YEAR(D45)</f>
        <v>7/8/2021</v>
      </c>
      <c r="E46" s="39" t="str">
        <f>"Rent: "&amp;LOOKUP(A46-1, Months, TextMonths)&amp;" '"&amp;B46</f>
        <v>Rent: Jul '2021</v>
      </c>
      <c r="F46" s="36"/>
      <c r="G46" s="36">
        <v>4950</v>
      </c>
      <c r="H46" s="46">
        <f t="shared" si="3"/>
        <v>4950</v>
      </c>
    </row>
    <row r="47" spans="1:13" ht="12.75" customHeight="1" x14ac:dyDescent="0.25">
      <c r="A47" s="37">
        <f t="shared" si="4"/>
        <v>7</v>
      </c>
      <c r="B47" s="37">
        <f t="shared" si="5"/>
        <v>2021</v>
      </c>
      <c r="C47" s="37" t="str">
        <f t="shared" si="6"/>
        <v>Income: 1</v>
      </c>
      <c r="D47" s="28">
        <v>44383</v>
      </c>
      <c r="E47" s="30" t="s">
        <v>51</v>
      </c>
      <c r="F47" s="36">
        <v>4950</v>
      </c>
      <c r="G47" s="36"/>
      <c r="H47" s="46">
        <f t="shared" si="3"/>
        <v>0</v>
      </c>
      <c r="M47" s="30"/>
    </row>
    <row r="48" spans="1:13" ht="12.75" customHeight="1" x14ac:dyDescent="0.25">
      <c r="A48" s="37">
        <f t="shared" si="4"/>
        <v>8</v>
      </c>
      <c r="B48" s="37">
        <f t="shared" si="5"/>
        <v>2021</v>
      </c>
      <c r="C48" s="37" t="str">
        <f t="shared" si="6"/>
        <v>Rent: 1</v>
      </c>
      <c r="D48" s="40" t="str">
        <f>MOD(MONTH(D46)+1, 12) &amp; "/8/" &amp; YEAR(D47)</f>
        <v>8/8/2021</v>
      </c>
      <c r="E48" s="39" t="str">
        <f>"Rent: "&amp;LOOKUP(A48-1, Months, TextMonths)&amp;" '"&amp;B48</f>
        <v>Rent: Aug '2021</v>
      </c>
      <c r="F48" s="36"/>
      <c r="G48" s="36">
        <v>4950</v>
      </c>
      <c r="H48" s="46">
        <f t="shared" si="3"/>
        <v>4950</v>
      </c>
    </row>
    <row r="49" spans="1:10" ht="12.75" customHeight="1" x14ac:dyDescent="0.25">
      <c r="A49" s="37">
        <f t="shared" si="4"/>
        <v>8</v>
      </c>
      <c r="B49" s="37">
        <f t="shared" si="5"/>
        <v>2021</v>
      </c>
      <c r="C49" s="37" t="str">
        <f t="shared" si="6"/>
        <v>Income: 1</v>
      </c>
      <c r="D49" s="28">
        <v>44413</v>
      </c>
      <c r="E49" s="30" t="s">
        <v>51</v>
      </c>
      <c r="F49" s="36">
        <v>4950</v>
      </c>
      <c r="G49" s="36"/>
      <c r="H49" s="46">
        <f t="shared" si="3"/>
        <v>0</v>
      </c>
    </row>
    <row r="50" spans="1:10" ht="12.75" customHeight="1" x14ac:dyDescent="0.25">
      <c r="A50" s="37">
        <f t="shared" si="4"/>
        <v>9</v>
      </c>
      <c r="B50" s="37">
        <f t="shared" si="5"/>
        <v>2021</v>
      </c>
      <c r="C50" s="37" t="str">
        <f t="shared" si="6"/>
        <v>Rent: 1</v>
      </c>
      <c r="D50" s="40" t="str">
        <f>MOD(MONTH(D48)+1, 12) &amp; "/8/" &amp; YEAR(D49)</f>
        <v>9/8/2021</v>
      </c>
      <c r="E50" s="39" t="str">
        <f>"Rent: "&amp;LOOKUP(A50-1, Months, TextMonths)&amp;" '"&amp;B50</f>
        <v>Rent: Sep '2021</v>
      </c>
      <c r="F50" s="36"/>
      <c r="G50" s="36">
        <v>4950</v>
      </c>
      <c r="H50" s="46">
        <f t="shared" si="3"/>
        <v>4950</v>
      </c>
    </row>
    <row r="51" spans="1:10" ht="12.75" customHeight="1" x14ac:dyDescent="0.25">
      <c r="A51" s="37">
        <f t="shared" si="4"/>
        <v>9</v>
      </c>
      <c r="B51" s="37">
        <f t="shared" si="5"/>
        <v>2021</v>
      </c>
      <c r="C51" s="37" t="str">
        <f t="shared" si="6"/>
        <v>Income: 1</v>
      </c>
      <c r="D51" s="28">
        <v>44442</v>
      </c>
      <c r="E51" s="30" t="s">
        <v>51</v>
      </c>
      <c r="F51" s="36">
        <v>4950</v>
      </c>
      <c r="G51" s="36"/>
      <c r="H51" s="46">
        <f t="shared" si="3"/>
        <v>0</v>
      </c>
    </row>
    <row r="52" spans="1:10" ht="12.75" customHeight="1" x14ac:dyDescent="0.25">
      <c r="A52" s="37">
        <f t="shared" si="4"/>
        <v>10</v>
      </c>
      <c r="B52" s="37">
        <f t="shared" si="5"/>
        <v>2021</v>
      </c>
      <c r="C52" s="37" t="str">
        <f t="shared" si="6"/>
        <v>Rent: 1</v>
      </c>
      <c r="D52" s="40" t="str">
        <f>MOD(MONTH(D50)+1, 12) &amp; "/8/" &amp; YEAR(D51)</f>
        <v>10/8/2021</v>
      </c>
      <c r="E52" s="39" t="str">
        <f>"Rent: "&amp;LOOKUP(A52-1, Months, TextMonths)&amp;" '"&amp;B52</f>
        <v>Rent: Oct '2021</v>
      </c>
      <c r="F52" s="36"/>
      <c r="G52" s="36">
        <v>4950</v>
      </c>
      <c r="H52" s="46">
        <f t="shared" si="3"/>
        <v>4950</v>
      </c>
    </row>
    <row r="53" spans="1:10" ht="12.75" customHeight="1" x14ac:dyDescent="0.25">
      <c r="A53" s="37">
        <f t="shared" si="4"/>
        <v>10</v>
      </c>
      <c r="B53" s="37">
        <f t="shared" si="5"/>
        <v>2021</v>
      </c>
      <c r="C53" s="37" t="str">
        <f t="shared" si="6"/>
        <v>Income: 1</v>
      </c>
      <c r="D53" s="28">
        <v>44476</v>
      </c>
      <c r="E53" s="30" t="s">
        <v>51</v>
      </c>
      <c r="F53" s="36">
        <v>4950</v>
      </c>
      <c r="G53" s="36"/>
      <c r="H53" s="46">
        <f t="shared" si="3"/>
        <v>0</v>
      </c>
    </row>
    <row r="54" spans="1:10" ht="12.75" customHeight="1" x14ac:dyDescent="0.25">
      <c r="A54" s="37">
        <f t="shared" si="4"/>
        <v>11</v>
      </c>
      <c r="B54" s="37">
        <f t="shared" si="5"/>
        <v>2021</v>
      </c>
      <c r="C54" s="37" t="str">
        <f t="shared" si="6"/>
        <v>Rent: 1</v>
      </c>
      <c r="D54" s="40" t="str">
        <f>MOD(MONTH(D52)+1, 12) &amp; "/8/" &amp; YEAR(D53)</f>
        <v>11/8/2021</v>
      </c>
      <c r="E54" s="39" t="str">
        <f>"Rent: "&amp;LOOKUP(A54-1, Months, TextMonths)&amp;" '"&amp;B54</f>
        <v>Rent: Nov '2021</v>
      </c>
      <c r="F54" s="36"/>
      <c r="G54" s="36">
        <v>4950</v>
      </c>
      <c r="H54" s="46">
        <f t="shared" si="3"/>
        <v>4950</v>
      </c>
    </row>
    <row r="55" spans="1:10" ht="12.75" customHeight="1" x14ac:dyDescent="0.25">
      <c r="A55" s="37">
        <f t="shared" si="4"/>
        <v>11</v>
      </c>
      <c r="B55" s="37">
        <f t="shared" si="5"/>
        <v>2021</v>
      </c>
      <c r="C55" s="37" t="str">
        <f t="shared" si="6"/>
        <v>Income: 1</v>
      </c>
      <c r="D55" s="28">
        <v>44505</v>
      </c>
      <c r="E55" s="30" t="s">
        <v>51</v>
      </c>
      <c r="F55" s="36">
        <v>4950</v>
      </c>
      <c r="G55" s="36"/>
      <c r="H55" s="46">
        <f t="shared" si="3"/>
        <v>0</v>
      </c>
      <c r="I55" s="30"/>
    </row>
    <row r="56" spans="1:10" ht="12.75" customHeight="1" x14ac:dyDescent="0.25">
      <c r="A56" s="37">
        <f t="shared" si="4"/>
        <v>12</v>
      </c>
      <c r="B56" s="37">
        <f t="shared" si="5"/>
        <v>2021</v>
      </c>
      <c r="C56" s="37" t="str">
        <f t="shared" si="6"/>
        <v>Rent: 1</v>
      </c>
      <c r="D56" s="40" t="str">
        <f>MOD(MONTH(D54), 12)+1 &amp; "/8/" &amp; YEAR(D55)</f>
        <v>12/8/2021</v>
      </c>
      <c r="E56" s="39" t="str">
        <f>"Rent: "&amp;LOOKUP(A56-1, Months, TextMonths)&amp;" '"&amp;B56</f>
        <v>Rent: Dec '2021</v>
      </c>
      <c r="F56" s="36"/>
      <c r="G56" s="36">
        <v>4950</v>
      </c>
      <c r="H56" s="46">
        <f t="shared" si="3"/>
        <v>4950</v>
      </c>
    </row>
    <row r="57" spans="1:10" ht="12.75" customHeight="1" x14ac:dyDescent="0.25">
      <c r="A57" s="37">
        <f t="shared" si="4"/>
        <v>12</v>
      </c>
      <c r="B57" s="37">
        <f t="shared" si="5"/>
        <v>2021</v>
      </c>
      <c r="C57" s="37" t="str">
        <f t="shared" si="6"/>
        <v>Income: 1</v>
      </c>
      <c r="D57" s="28">
        <v>44536</v>
      </c>
      <c r="E57" s="30" t="s">
        <v>51</v>
      </c>
      <c r="F57" s="36">
        <v>4950</v>
      </c>
      <c r="G57" s="36"/>
      <c r="H57" s="46">
        <f t="shared" si="3"/>
        <v>0</v>
      </c>
    </row>
    <row r="58" spans="1:10" ht="12.75" customHeight="1" x14ac:dyDescent="0.25">
      <c r="A58" s="37">
        <f t="shared" si="4"/>
        <v>1</v>
      </c>
      <c r="B58" s="37">
        <f t="shared" si="5"/>
        <v>2022</v>
      </c>
      <c r="C58" s="37" t="str">
        <f t="shared" si="6"/>
        <v>Rent: 1</v>
      </c>
      <c r="D58" s="40" t="str">
        <f>MOD(MONTH(D56), 12)+1 &amp; "/8/" &amp; YEAR(D57)+1</f>
        <v>1/8/2022</v>
      </c>
      <c r="E58" s="39" t="str">
        <f>"Rent: "&amp;LOOKUP(A58-1, Months, TextMonths)&amp;" '"&amp;B58</f>
        <v>Rent: Jan '2022</v>
      </c>
      <c r="F58" s="36"/>
      <c r="G58" s="36">
        <v>4950</v>
      </c>
      <c r="H58" s="46">
        <f t="shared" si="3"/>
        <v>4950</v>
      </c>
    </row>
    <row r="59" spans="1:10" ht="12.75" customHeight="1" x14ac:dyDescent="0.25">
      <c r="A59" s="37">
        <f t="shared" si="4"/>
        <v>1</v>
      </c>
      <c r="B59" s="37">
        <f t="shared" si="5"/>
        <v>2022</v>
      </c>
      <c r="C59" s="37" t="str">
        <f t="shared" si="6"/>
        <v>Income: 1</v>
      </c>
      <c r="D59" s="28">
        <v>44568</v>
      </c>
      <c r="E59" s="30" t="s">
        <v>51</v>
      </c>
      <c r="F59" s="36">
        <v>4950</v>
      </c>
      <c r="G59" s="36"/>
      <c r="H59" s="46">
        <f t="shared" si="3"/>
        <v>0</v>
      </c>
    </row>
    <row r="60" spans="1:10" ht="12.75" customHeight="1" x14ac:dyDescent="0.25">
      <c r="A60" s="37">
        <f t="shared" si="4"/>
        <v>2</v>
      </c>
      <c r="B60" s="37">
        <f t="shared" si="5"/>
        <v>2022</v>
      </c>
      <c r="C60" s="37" t="str">
        <f t="shared" si="6"/>
        <v>Rent: 1</v>
      </c>
      <c r="D60" s="40" t="str">
        <f>MOD(MONTH(D58), 12)+1 &amp; "/8/" &amp; YEAR(D59)</f>
        <v>2/8/2022</v>
      </c>
      <c r="E60" s="39" t="str">
        <f>"Rent: "&amp;LOOKUP(A60-1, Months, TextMonths)&amp;" '"&amp;B60</f>
        <v>Rent: Feb '2022</v>
      </c>
      <c r="F60" s="36"/>
      <c r="G60" s="36">
        <v>4950</v>
      </c>
      <c r="H60" s="46">
        <f t="shared" si="3"/>
        <v>4950</v>
      </c>
    </row>
    <row r="61" spans="1:10" ht="12.75" customHeight="1" x14ac:dyDescent="0.25">
      <c r="A61" s="37">
        <f t="shared" si="4"/>
        <v>2</v>
      </c>
      <c r="B61" s="37">
        <f t="shared" si="5"/>
        <v>2022</v>
      </c>
      <c r="C61" s="37" t="str">
        <f t="shared" si="6"/>
        <v>Income: 1</v>
      </c>
      <c r="D61" s="28">
        <v>44596</v>
      </c>
      <c r="E61" s="30" t="s">
        <v>51</v>
      </c>
      <c r="F61" s="36">
        <v>4950</v>
      </c>
      <c r="G61" s="36"/>
      <c r="H61" s="46">
        <f t="shared" si="3"/>
        <v>0</v>
      </c>
      <c r="I61" s="39"/>
    </row>
    <row r="62" spans="1:10" ht="12.75" customHeight="1" x14ac:dyDescent="0.25">
      <c r="A62" s="37">
        <f t="shared" si="4"/>
        <v>3</v>
      </c>
      <c r="B62" s="37">
        <f t="shared" si="5"/>
        <v>2022</v>
      </c>
      <c r="C62" s="37" t="str">
        <f t="shared" si="6"/>
        <v>Rent: 1</v>
      </c>
      <c r="D62" s="40" t="str">
        <f>MOD(MONTH(D60), 12)+1 &amp; "/8/" &amp; YEAR(D61)</f>
        <v>3/8/2022</v>
      </c>
      <c r="E62" s="39" t="str">
        <f>"Rent: "&amp;LOOKUP(A62-1, Months, TextMonths)&amp;" '"&amp;B62</f>
        <v>Rent: Mar '2022</v>
      </c>
      <c r="F62" s="36"/>
      <c r="G62" s="36">
        <v>4950</v>
      </c>
      <c r="H62" s="46">
        <f t="shared" si="3"/>
        <v>4950</v>
      </c>
      <c r="I62" s="15"/>
      <c r="J62" s="30"/>
    </row>
    <row r="63" spans="1:10" ht="12.75" customHeight="1" x14ac:dyDescent="0.25">
      <c r="A63" s="37">
        <f t="shared" si="4"/>
        <v>3</v>
      </c>
      <c r="B63" s="37">
        <f t="shared" si="5"/>
        <v>2022</v>
      </c>
      <c r="C63" s="37" t="str">
        <f t="shared" si="6"/>
        <v>Income: 1</v>
      </c>
      <c r="D63" s="28">
        <v>44627</v>
      </c>
      <c r="E63" s="30" t="s">
        <v>51</v>
      </c>
      <c r="F63" s="36">
        <v>4950</v>
      </c>
      <c r="G63" s="36"/>
      <c r="H63" s="46">
        <f t="shared" si="3"/>
        <v>0</v>
      </c>
    </row>
    <row r="64" spans="1:10" ht="12.75" customHeight="1" x14ac:dyDescent="0.25">
      <c r="A64" s="37">
        <f t="shared" si="4"/>
        <v>4</v>
      </c>
      <c r="B64" s="37">
        <f t="shared" si="5"/>
        <v>2022</v>
      </c>
      <c r="C64" s="37" t="str">
        <f t="shared" si="6"/>
        <v>Rent: 1</v>
      </c>
      <c r="D64" s="40" t="str">
        <f>MOD(MONTH(D62), 12)+1 &amp; "/8/" &amp; YEAR(D63)</f>
        <v>4/8/2022</v>
      </c>
      <c r="E64" s="39" t="str">
        <f>"Rent: "&amp;LOOKUP(A64-1, Months, TextMonths)&amp;" '"&amp;B64</f>
        <v>Rent: Apr '2022</v>
      </c>
      <c r="F64" s="36"/>
      <c r="G64" s="36">
        <v>4950</v>
      </c>
      <c r="H64" s="46">
        <f t="shared" si="3"/>
        <v>4950</v>
      </c>
    </row>
    <row r="65" spans="1:8" ht="12.75" customHeight="1" x14ac:dyDescent="0.25">
      <c r="A65" s="37">
        <f t="shared" si="4"/>
        <v>4</v>
      </c>
      <c r="B65" s="37">
        <f t="shared" si="5"/>
        <v>2022</v>
      </c>
      <c r="C65" s="37" t="str">
        <f t="shared" si="6"/>
        <v>Income: 1</v>
      </c>
      <c r="D65" s="28">
        <v>44657</v>
      </c>
      <c r="E65" s="30" t="s">
        <v>51</v>
      </c>
      <c r="F65" s="36">
        <v>4950</v>
      </c>
      <c r="G65" s="36"/>
      <c r="H65" s="46">
        <f t="shared" si="3"/>
        <v>0</v>
      </c>
    </row>
    <row r="66" spans="1:8" ht="12.75" customHeight="1" x14ac:dyDescent="0.25">
      <c r="A66" s="37">
        <f t="shared" si="4"/>
        <v>5</v>
      </c>
      <c r="B66" s="37">
        <f t="shared" si="5"/>
        <v>2022</v>
      </c>
      <c r="C66" s="37" t="str">
        <f t="shared" si="6"/>
        <v>Rent: 1</v>
      </c>
      <c r="D66" s="40" t="str">
        <f>MOD(MONTH(D64), 12)+1 &amp; "/8/" &amp; YEAR(D65)</f>
        <v>5/8/2022</v>
      </c>
      <c r="E66" s="39" t="str">
        <f>"Rent: "&amp;LOOKUP(A66-1, Months, TextMonths)&amp;" '"&amp;B66</f>
        <v>Rent: May '2022</v>
      </c>
      <c r="F66" s="36"/>
      <c r="G66" s="36">
        <v>4950</v>
      </c>
      <c r="H66" s="46">
        <f t="shared" si="3"/>
        <v>4950</v>
      </c>
    </row>
    <row r="67" spans="1:8" ht="12.75" customHeight="1" x14ac:dyDescent="0.25">
      <c r="A67" s="37">
        <f t="shared" si="4"/>
        <v>5</v>
      </c>
      <c r="B67" s="37">
        <f t="shared" si="5"/>
        <v>2022</v>
      </c>
      <c r="C67" s="37" t="str">
        <f t="shared" si="6"/>
        <v>Income: 1</v>
      </c>
      <c r="D67" s="28">
        <v>44687</v>
      </c>
      <c r="E67" s="30" t="s">
        <v>51</v>
      </c>
      <c r="F67" s="36">
        <v>4950</v>
      </c>
      <c r="G67" s="36"/>
      <c r="H67" s="46">
        <f t="shared" si="3"/>
        <v>0</v>
      </c>
    </row>
    <row r="68" spans="1:8" ht="12.75" customHeight="1" x14ac:dyDescent="0.25">
      <c r="A68" s="37">
        <f t="shared" ref="A68:A73" si="7">MONTH(D68)</f>
        <v>6</v>
      </c>
      <c r="B68" s="37">
        <f t="shared" ref="B68:B73" si="8">YEAR(D68)</f>
        <v>2022</v>
      </c>
      <c r="C68" s="37" t="str">
        <f t="shared" ref="C68:C73" si="9">IFERROR("Rent: "&amp;FIND("Rent",E68),IFERROR("Priv Tax: "&amp;FIND("Tax",E68), IFERROR("Income: "&amp;FIND("Payment",E68,1),"")))</f>
        <v>Rent: 1</v>
      </c>
      <c r="D68" s="40" t="str">
        <f>MOD(MONTH(D66), 12)+1 &amp; "/8/" &amp; YEAR(D67)</f>
        <v>6/8/2022</v>
      </c>
      <c r="E68" s="39" t="str">
        <f>"Rent: "&amp;LOOKUP(A68-1, Months, TextMonths)&amp;" '"&amp;B68</f>
        <v>Rent: Jun '2022</v>
      </c>
      <c r="F68" s="36"/>
      <c r="G68" s="36">
        <v>4950</v>
      </c>
      <c r="H68" s="46">
        <f t="shared" ref="H68:H73" si="10">H67+G68-F68</f>
        <v>4950</v>
      </c>
    </row>
    <row r="69" spans="1:8" ht="12.75" customHeight="1" x14ac:dyDescent="0.25">
      <c r="A69" s="37">
        <f t="shared" si="7"/>
        <v>6</v>
      </c>
      <c r="B69" s="37">
        <f t="shared" si="8"/>
        <v>2022</v>
      </c>
      <c r="C69" s="37" t="str">
        <f t="shared" si="9"/>
        <v>Income: 1</v>
      </c>
      <c r="D69" s="28">
        <v>44718</v>
      </c>
      <c r="E69" s="30" t="s">
        <v>51</v>
      </c>
      <c r="F69" s="36">
        <v>4950</v>
      </c>
      <c r="G69" s="36"/>
      <c r="H69" s="46">
        <f t="shared" si="10"/>
        <v>0</v>
      </c>
    </row>
    <row r="70" spans="1:8" ht="12.75" customHeight="1" x14ac:dyDescent="0.25">
      <c r="A70" s="37">
        <f t="shared" si="7"/>
        <v>7</v>
      </c>
      <c r="B70" s="37">
        <f t="shared" si="8"/>
        <v>2022</v>
      </c>
      <c r="C70" s="37" t="str">
        <f t="shared" si="9"/>
        <v>Rent: 1</v>
      </c>
      <c r="D70" s="40" t="str">
        <f>MOD(MONTH(D68), 12)+1 &amp; "/8/" &amp; YEAR(D69)</f>
        <v>7/8/2022</v>
      </c>
      <c r="E70" s="39" t="str">
        <f>"Rent: "&amp;LOOKUP(A70-1, Months, TextMonths)&amp;" '"&amp;B70</f>
        <v>Rent: Jul '2022</v>
      </c>
      <c r="F70" s="36"/>
      <c r="G70" s="36">
        <v>4950</v>
      </c>
      <c r="H70" s="46">
        <f t="shared" si="10"/>
        <v>4950</v>
      </c>
    </row>
    <row r="71" spans="1:8" ht="12.75" customHeight="1" x14ac:dyDescent="0.25">
      <c r="A71" s="37">
        <f t="shared" si="7"/>
        <v>7</v>
      </c>
      <c r="B71" s="37">
        <f t="shared" si="8"/>
        <v>2022</v>
      </c>
      <c r="C71" s="37" t="str">
        <f t="shared" si="9"/>
        <v>Income: 1</v>
      </c>
      <c r="D71" s="28">
        <v>44749</v>
      </c>
      <c r="E71" s="30" t="s">
        <v>51</v>
      </c>
      <c r="F71" s="36">
        <v>4950</v>
      </c>
      <c r="G71" s="36"/>
      <c r="H71" s="46">
        <f t="shared" si="10"/>
        <v>0</v>
      </c>
    </row>
    <row r="72" spans="1:8" ht="12.75" customHeight="1" x14ac:dyDescent="0.25">
      <c r="A72" s="37">
        <f t="shared" si="7"/>
        <v>8</v>
      </c>
      <c r="B72" s="37">
        <f t="shared" si="8"/>
        <v>2022</v>
      </c>
      <c r="C72" s="37" t="str">
        <f t="shared" si="9"/>
        <v>Rent: 1</v>
      </c>
      <c r="D72" s="40" t="str">
        <f>MOD(MONTH(D70), 12)+1 &amp; "/8/" &amp; YEAR(D71)</f>
        <v>8/8/2022</v>
      </c>
      <c r="E72" s="39" t="str">
        <f>"Rent: "&amp;LOOKUP(A72-1, Months, TextMonths)&amp;" '"&amp;B72</f>
        <v>Rent: Aug '2022</v>
      </c>
      <c r="F72" s="36"/>
      <c r="G72" s="36">
        <v>4950</v>
      </c>
      <c r="H72" s="46">
        <f t="shared" si="10"/>
        <v>4950</v>
      </c>
    </row>
    <row r="73" spans="1:8" ht="12.75" customHeight="1" x14ac:dyDescent="0.25">
      <c r="A73" s="37">
        <f t="shared" si="7"/>
        <v>8</v>
      </c>
      <c r="B73" s="37">
        <f t="shared" si="8"/>
        <v>2022</v>
      </c>
      <c r="C73" s="37" t="str">
        <f t="shared" si="9"/>
        <v>Income: 1</v>
      </c>
      <c r="D73" s="28">
        <v>44778</v>
      </c>
      <c r="E73" s="30" t="s">
        <v>51</v>
      </c>
      <c r="F73" s="36">
        <v>4950</v>
      </c>
      <c r="G73" s="36"/>
      <c r="H73" s="46">
        <f t="shared" si="10"/>
        <v>0</v>
      </c>
    </row>
    <row r="74" spans="1:8" ht="12.75" customHeight="1" x14ac:dyDescent="0.25">
      <c r="A74" s="37">
        <f t="shared" ref="A74:A79" si="11">MONTH(D74)</f>
        <v>9</v>
      </c>
      <c r="B74" s="37">
        <f t="shared" ref="B74:B79" si="12">YEAR(D74)</f>
        <v>2022</v>
      </c>
      <c r="C74" s="37" t="str">
        <f t="shared" ref="C74:C79" si="13">IFERROR("Rent: "&amp;FIND("Rent",E74),IFERROR("Priv Tax: "&amp;FIND("Tax",E74), IFERROR("Income: "&amp;FIND("Payment",E74,1),"")))</f>
        <v>Rent: 1</v>
      </c>
      <c r="D74" s="40" t="str">
        <f>MOD(MONTH(D72), 12)+1 &amp; "/8/" &amp; YEAR(D73)</f>
        <v>9/8/2022</v>
      </c>
      <c r="E74" s="39" t="str">
        <f>"Rent: "&amp;LOOKUP(A74-1, Months, TextMonths)&amp;" '"&amp;B74</f>
        <v>Rent: Sep '2022</v>
      </c>
      <c r="F74" s="36"/>
      <c r="G74" s="36">
        <v>4950</v>
      </c>
      <c r="H74" s="46">
        <f t="shared" ref="H74:H79" si="14">H73+G74-F74</f>
        <v>4950</v>
      </c>
    </row>
    <row r="75" spans="1:8" ht="12.75" customHeight="1" x14ac:dyDescent="0.25">
      <c r="A75" s="37">
        <f t="shared" si="11"/>
        <v>9</v>
      </c>
      <c r="B75" s="37">
        <f t="shared" si="12"/>
        <v>2022</v>
      </c>
      <c r="C75" s="37" t="str">
        <f t="shared" si="13"/>
        <v>Income: 1</v>
      </c>
      <c r="D75" s="28">
        <v>44810</v>
      </c>
      <c r="E75" s="30" t="s">
        <v>51</v>
      </c>
      <c r="F75" s="36">
        <v>4950</v>
      </c>
      <c r="G75" s="36"/>
      <c r="H75" s="46">
        <f t="shared" si="14"/>
        <v>0</v>
      </c>
    </row>
    <row r="76" spans="1:8" ht="12.75" customHeight="1" x14ac:dyDescent="0.25">
      <c r="A76" s="37">
        <f t="shared" si="11"/>
        <v>10</v>
      </c>
      <c r="B76" s="37">
        <f t="shared" si="12"/>
        <v>2022</v>
      </c>
      <c r="C76" s="37" t="str">
        <f t="shared" si="13"/>
        <v>Rent: 1</v>
      </c>
      <c r="D76" s="40" t="str">
        <f>MOD(MONTH(D74), 12)+1 &amp; "/8/" &amp; YEAR(D75)</f>
        <v>10/8/2022</v>
      </c>
      <c r="E76" s="39" t="str">
        <f>"Rent: "&amp;LOOKUP(A76-1, Months, TextMonths)&amp;" '"&amp;B76</f>
        <v>Rent: Oct '2022</v>
      </c>
      <c r="F76" s="36"/>
      <c r="G76" s="36">
        <v>4950</v>
      </c>
      <c r="H76" s="46">
        <f t="shared" si="14"/>
        <v>4950</v>
      </c>
    </row>
    <row r="77" spans="1:8" ht="12.75" customHeight="1" x14ac:dyDescent="0.25">
      <c r="A77" s="37">
        <f t="shared" si="11"/>
        <v>10</v>
      </c>
      <c r="B77" s="37">
        <f t="shared" si="12"/>
        <v>2022</v>
      </c>
      <c r="C77" s="37" t="str">
        <f t="shared" si="13"/>
        <v>Income: 1</v>
      </c>
      <c r="D77" s="28">
        <v>44840</v>
      </c>
      <c r="E77" s="30" t="s">
        <v>51</v>
      </c>
      <c r="F77" s="36">
        <v>4950</v>
      </c>
      <c r="G77" s="36"/>
      <c r="H77" s="46">
        <f t="shared" si="14"/>
        <v>0</v>
      </c>
    </row>
    <row r="78" spans="1:8" ht="12.75" customHeight="1" x14ac:dyDescent="0.25">
      <c r="A78" s="37">
        <f t="shared" si="11"/>
        <v>11</v>
      </c>
      <c r="B78" s="37">
        <f t="shared" si="12"/>
        <v>2022</v>
      </c>
      <c r="C78" s="37" t="str">
        <f t="shared" si="13"/>
        <v>Rent: 1</v>
      </c>
      <c r="D78" s="40" t="str">
        <f>MOD(MONTH(D76), 12)+1 &amp; "/8/" &amp; YEAR(D77)</f>
        <v>11/8/2022</v>
      </c>
      <c r="E78" s="39" t="str">
        <f>"Rent: "&amp;LOOKUP(A78-1, Months, TextMonths)&amp;" '"&amp;B78</f>
        <v>Rent: Nov '2022</v>
      </c>
      <c r="F78" s="36"/>
      <c r="G78" s="36">
        <v>4950</v>
      </c>
      <c r="H78" s="46">
        <f t="shared" si="14"/>
        <v>4950</v>
      </c>
    </row>
    <row r="79" spans="1:8" ht="12.75" customHeight="1" x14ac:dyDescent="0.25">
      <c r="A79" s="37">
        <f t="shared" si="11"/>
        <v>11</v>
      </c>
      <c r="B79" s="37">
        <f t="shared" si="12"/>
        <v>2022</v>
      </c>
      <c r="C79" s="37" t="str">
        <f t="shared" si="13"/>
        <v>Income: 1</v>
      </c>
      <c r="D79" s="28">
        <v>44869</v>
      </c>
      <c r="E79" s="30" t="s">
        <v>51</v>
      </c>
      <c r="F79" s="36">
        <v>4950</v>
      </c>
      <c r="G79" s="36"/>
      <c r="H79" s="46">
        <f t="shared" si="14"/>
        <v>0</v>
      </c>
    </row>
    <row r="80" spans="1:8" ht="12.75" customHeight="1" x14ac:dyDescent="0.25">
      <c r="A80" s="37">
        <f>MONTH(D80)</f>
        <v>12</v>
      </c>
      <c r="B80" s="37">
        <f>YEAR(D80)</f>
        <v>2022</v>
      </c>
      <c r="C80" s="37" t="str">
        <f>IFERROR("Rent: "&amp;FIND("Rent",E80),IFERROR("Priv Tax: "&amp;FIND("Tax",E80), IFERROR("Income: "&amp;FIND("Payment",E80,1),"")))</f>
        <v>Rent: 1</v>
      </c>
      <c r="D80" s="40" t="str">
        <f>MOD(MONTH(D78), 12)+1 &amp; "/8/" &amp; YEAR(D79)</f>
        <v>12/8/2022</v>
      </c>
      <c r="E80" s="39" t="str">
        <f>"Rent: "&amp;LOOKUP(A80-1, Months, TextMonths)&amp;" '"&amp;B80</f>
        <v>Rent: Dec '2022</v>
      </c>
      <c r="F80" s="36"/>
      <c r="G80" s="36">
        <v>4950</v>
      </c>
      <c r="H80" s="46">
        <f>H79+G80-F80</f>
        <v>4950</v>
      </c>
    </row>
    <row r="81" spans="1:11" ht="12.75" customHeight="1" x14ac:dyDescent="0.25">
      <c r="A81" s="37">
        <f>MONTH(D81)</f>
        <v>12</v>
      </c>
      <c r="B81" s="37">
        <f>YEAR(D81)</f>
        <v>2022</v>
      </c>
      <c r="C81" s="37" t="str">
        <f>IFERROR("Rent: "&amp;FIND("Rent",E81),IFERROR("Priv Tax: "&amp;FIND("Tax",E81), IFERROR("Income: "&amp;FIND("Payment",E81,1),"")))</f>
        <v>Income: 1</v>
      </c>
      <c r="D81" s="28">
        <v>44900</v>
      </c>
      <c r="E81" s="30" t="s">
        <v>51</v>
      </c>
      <c r="F81" s="36">
        <v>4950</v>
      </c>
      <c r="G81" s="36"/>
      <c r="H81" s="46">
        <f>H80+G81-F81</f>
        <v>0</v>
      </c>
    </row>
    <row r="82" spans="1:11" ht="12.75" customHeight="1" x14ac:dyDescent="0.25">
      <c r="F82" s="36"/>
      <c r="G82" s="36"/>
      <c r="H82" s="36"/>
    </row>
    <row r="83" spans="1:11" ht="12.75" customHeight="1" x14ac:dyDescent="0.25">
      <c r="F83" s="36"/>
      <c r="G83" s="36"/>
      <c r="H83" s="36"/>
      <c r="I83" s="30"/>
    </row>
    <row r="84" spans="1:11" ht="12.75" customHeight="1" x14ac:dyDescent="0.25">
      <c r="F84" s="36"/>
      <c r="G84" s="36"/>
      <c r="H84" s="36"/>
    </row>
    <row r="85" spans="1:11" ht="12.75" customHeight="1" x14ac:dyDescent="0.25">
      <c r="F85" s="36"/>
      <c r="G85" s="36"/>
      <c r="H85" s="36"/>
    </row>
    <row r="86" spans="1:11" ht="12.75" customHeight="1" x14ac:dyDescent="0.25">
      <c r="F86" s="36"/>
      <c r="G86" s="36"/>
      <c r="H86" s="36"/>
      <c r="I86" s="30"/>
    </row>
    <row r="87" spans="1:11" ht="12.75" customHeight="1" x14ac:dyDescent="0.25">
      <c r="F87" s="36"/>
      <c r="G87" s="36"/>
      <c r="H87" s="36"/>
    </row>
    <row r="88" spans="1:11" ht="12.75" customHeight="1" x14ac:dyDescent="0.25">
      <c r="F88" s="36"/>
      <c r="G88" s="36"/>
      <c r="H88" s="36"/>
    </row>
    <row r="89" spans="1:11" ht="12.75" customHeight="1" x14ac:dyDescent="0.25">
      <c r="F89" s="36"/>
      <c r="G89" s="36"/>
      <c r="H89" s="36"/>
      <c r="I89" s="39"/>
      <c r="J89" s="30"/>
    </row>
    <row r="90" spans="1:11" ht="12.75" customHeight="1" x14ac:dyDescent="0.25">
      <c r="F90" s="36"/>
      <c r="G90" s="36"/>
      <c r="H90" s="36"/>
      <c r="I90" s="15"/>
      <c r="J90" s="15"/>
      <c r="K90" s="30"/>
    </row>
    <row r="91" spans="1:11" ht="12" customHeight="1" x14ac:dyDescent="0.25">
      <c r="F91" s="36"/>
      <c r="G91" s="36"/>
      <c r="H91" s="36"/>
    </row>
    <row r="92" spans="1:11" ht="12.75" customHeight="1" x14ac:dyDescent="0.25">
      <c r="F92" s="36"/>
      <c r="G92" s="36"/>
      <c r="H92" s="36"/>
    </row>
    <row r="93" spans="1:11" ht="12.75" customHeight="1" x14ac:dyDescent="0.25">
      <c r="F93" s="36"/>
      <c r="G93" s="36"/>
      <c r="H93" s="36"/>
    </row>
    <row r="94" spans="1:11" ht="12" customHeight="1" x14ac:dyDescent="0.25">
      <c r="F94" s="36"/>
      <c r="G94" s="36"/>
      <c r="H94" s="36"/>
    </row>
    <row r="95" spans="1:11" ht="12.75" customHeight="1" x14ac:dyDescent="0.25">
      <c r="F95" s="36"/>
      <c r="G95" s="36"/>
      <c r="H95" s="36"/>
    </row>
    <row r="96" spans="1:11" ht="12.75" customHeight="1" x14ac:dyDescent="0.25">
      <c r="F96" s="36"/>
      <c r="G96" s="36"/>
      <c r="H96" s="36"/>
    </row>
    <row r="97" spans="6:9" ht="12" customHeight="1" x14ac:dyDescent="0.25">
      <c r="F97" s="36"/>
      <c r="G97" s="36"/>
      <c r="H97" s="36"/>
    </row>
    <row r="98" spans="6:9" ht="12.75" customHeight="1" x14ac:dyDescent="0.25">
      <c r="F98" s="36"/>
      <c r="G98" s="36"/>
      <c r="H98" s="36"/>
    </row>
    <row r="99" spans="6:9" ht="12.75" customHeight="1" x14ac:dyDescent="0.25">
      <c r="F99" s="36"/>
      <c r="G99" s="36"/>
      <c r="H99" s="36"/>
    </row>
    <row r="100" spans="6:9" ht="12" customHeight="1" x14ac:dyDescent="0.25">
      <c r="F100" s="36"/>
      <c r="G100" s="36"/>
      <c r="H100" s="36"/>
    </row>
    <row r="101" spans="6:9" ht="12.75" customHeight="1" x14ac:dyDescent="0.25">
      <c r="F101" s="36"/>
      <c r="G101" s="36"/>
      <c r="H101" s="36"/>
      <c r="I101" s="30"/>
    </row>
    <row r="102" spans="6:9" ht="12.75" customHeight="1" x14ac:dyDescent="0.25">
      <c r="F102" s="36"/>
      <c r="G102" s="36"/>
      <c r="H102" s="36"/>
      <c r="I102" s="30"/>
    </row>
    <row r="103" spans="6:9" ht="12.75" customHeight="1" x14ac:dyDescent="0.25">
      <c r="F103" s="36"/>
      <c r="G103" s="36"/>
      <c r="H103" s="36"/>
      <c r="I103" s="30"/>
    </row>
    <row r="104" spans="6:9" ht="12.75" customHeight="1" x14ac:dyDescent="0.25">
      <c r="F104" s="36"/>
      <c r="G104" s="36"/>
      <c r="H104" s="36"/>
    </row>
    <row r="105" spans="6:9" ht="12.75" customHeight="1" x14ac:dyDescent="0.25">
      <c r="F105" s="36"/>
      <c r="G105" s="36"/>
      <c r="H105" s="36"/>
      <c r="I105" s="30"/>
    </row>
    <row r="106" spans="6:9" ht="12.75" customHeight="1" x14ac:dyDescent="0.25">
      <c r="F106" s="36"/>
      <c r="G106" s="36"/>
      <c r="H106" s="36"/>
      <c r="I106" s="30"/>
    </row>
    <row r="107" spans="6:9" ht="12.75" customHeight="1" x14ac:dyDescent="0.25">
      <c r="F107" s="36"/>
      <c r="G107" s="36"/>
      <c r="H107" s="36"/>
    </row>
    <row r="108" spans="6:9" ht="12.75" customHeight="1" x14ac:dyDescent="0.25">
      <c r="F108" s="36"/>
      <c r="G108" s="36"/>
      <c r="H108" s="36"/>
      <c r="I108" s="30"/>
    </row>
    <row r="109" spans="6:9" ht="12.75" customHeight="1" x14ac:dyDescent="0.25">
      <c r="F109" s="36"/>
      <c r="G109" s="36"/>
      <c r="H109" s="36"/>
      <c r="I109" s="30"/>
    </row>
    <row r="110" spans="6:9" ht="12.75" customHeight="1" x14ac:dyDescent="0.25">
      <c r="F110" s="36"/>
      <c r="G110" s="36"/>
      <c r="H110" s="36"/>
      <c r="I110" s="30"/>
    </row>
    <row r="111" spans="6:9" ht="12.75" customHeight="1" x14ac:dyDescent="0.25">
      <c r="F111" s="36"/>
      <c r="G111" s="36"/>
      <c r="H111" s="36"/>
      <c r="I111" s="30"/>
    </row>
    <row r="112" spans="6:9" ht="12.75" customHeight="1" x14ac:dyDescent="0.25">
      <c r="F112" s="36"/>
      <c r="G112" s="36"/>
      <c r="H112" s="36"/>
      <c r="I112" s="30"/>
    </row>
    <row r="113" spans="6:9" ht="12.75" customHeight="1" x14ac:dyDescent="0.25">
      <c r="F113" s="36"/>
      <c r="G113" s="36"/>
      <c r="H113" s="36"/>
    </row>
    <row r="114" spans="6:9" ht="12.75" customHeight="1" x14ac:dyDescent="0.25">
      <c r="F114" s="36"/>
      <c r="G114" s="36"/>
      <c r="H114" s="36"/>
      <c r="I114" s="30"/>
    </row>
    <row r="115" spans="6:9" ht="12.75" customHeight="1" x14ac:dyDescent="0.25">
      <c r="F115" s="36"/>
      <c r="G115" s="36"/>
      <c r="H115" s="36"/>
      <c r="I115" s="30"/>
    </row>
    <row r="116" spans="6:9" ht="12.75" customHeight="1" x14ac:dyDescent="0.25">
      <c r="F116" s="36"/>
      <c r="G116" s="36"/>
      <c r="H116" s="36"/>
      <c r="I116" s="30"/>
    </row>
    <row r="117" spans="6:9" ht="12.75" customHeight="1" x14ac:dyDescent="0.25">
      <c r="F117" s="36"/>
      <c r="G117" s="36"/>
      <c r="H117" s="36"/>
    </row>
    <row r="118" spans="6:9" ht="12.75" customHeight="1" x14ac:dyDescent="0.25">
      <c r="F118" s="36"/>
      <c r="G118" s="36"/>
      <c r="H118" s="36"/>
      <c r="I118" s="30"/>
    </row>
    <row r="119" spans="6:9" ht="12.75" customHeight="1" x14ac:dyDescent="0.25">
      <c r="F119" s="36"/>
      <c r="G119" s="36"/>
      <c r="H119" s="36"/>
      <c r="I119" s="30"/>
    </row>
    <row r="120" spans="6:9" ht="12.75" customHeight="1" x14ac:dyDescent="0.25">
      <c r="F120" s="36"/>
      <c r="G120" s="36"/>
      <c r="H120" s="36"/>
      <c r="I120" s="30"/>
    </row>
    <row r="121" spans="6:9" ht="12.75" customHeight="1" x14ac:dyDescent="0.25">
      <c r="F121" s="36"/>
      <c r="G121" s="36"/>
      <c r="H121" s="36"/>
    </row>
    <row r="122" spans="6:9" ht="12.75" customHeight="1" x14ac:dyDescent="0.25">
      <c r="F122" s="36"/>
      <c r="G122" s="36"/>
      <c r="H122" s="36"/>
      <c r="I122" s="30"/>
    </row>
    <row r="123" spans="6:9" ht="12.75" customHeight="1" x14ac:dyDescent="0.25">
      <c r="F123" s="36"/>
      <c r="G123" s="36"/>
      <c r="H123" s="36"/>
      <c r="I123" s="30"/>
    </row>
    <row r="124" spans="6:9" ht="12.75" customHeight="1" x14ac:dyDescent="0.25">
      <c r="F124" s="36"/>
      <c r="G124" s="36"/>
      <c r="H124" s="36"/>
    </row>
    <row r="125" spans="6:9" ht="12.75" customHeight="1" x14ac:dyDescent="0.25">
      <c r="F125" s="36"/>
      <c r="G125" s="36"/>
      <c r="H125" s="36"/>
    </row>
    <row r="126" spans="6:9" ht="12.75" customHeight="1" x14ac:dyDescent="0.25">
      <c r="F126" s="36"/>
      <c r="G126" s="36"/>
      <c r="H126" s="36"/>
      <c r="I126" s="30"/>
    </row>
    <row r="127" spans="6:9" ht="12.75" customHeight="1" x14ac:dyDescent="0.25">
      <c r="F127" s="36"/>
      <c r="G127" s="36"/>
      <c r="H127" s="36"/>
      <c r="I127" s="30"/>
    </row>
    <row r="128" spans="6:9" ht="12.75" customHeight="1" x14ac:dyDescent="0.25">
      <c r="F128" s="36"/>
      <c r="G128" s="36"/>
      <c r="H128" s="36"/>
      <c r="I128" s="30"/>
    </row>
    <row r="129" spans="6:12" ht="12.75" customHeight="1" x14ac:dyDescent="0.25">
      <c r="F129" s="36"/>
      <c r="G129" s="36"/>
      <c r="H129" s="36"/>
    </row>
    <row r="130" spans="6:12" ht="12.75" customHeight="1" x14ac:dyDescent="0.25">
      <c r="F130" s="36"/>
      <c r="G130" s="36"/>
      <c r="H130" s="36"/>
      <c r="I130" s="29"/>
    </row>
    <row r="131" spans="6:12" ht="12.75" customHeight="1" x14ac:dyDescent="0.25">
      <c r="F131" s="36"/>
      <c r="G131" s="36"/>
      <c r="H131" s="36"/>
      <c r="I131" s="29"/>
    </row>
    <row r="132" spans="6:12" ht="12.75" customHeight="1" x14ac:dyDescent="0.25">
      <c r="F132" s="36"/>
      <c r="G132" s="36"/>
      <c r="H132" s="36"/>
      <c r="I132" s="29"/>
    </row>
    <row r="133" spans="6:12" ht="12.75" customHeight="1" x14ac:dyDescent="0.25">
      <c r="F133" s="36"/>
      <c r="G133" s="36"/>
      <c r="H133" s="36"/>
    </row>
    <row r="134" spans="6:12" ht="12.75" customHeight="1" x14ac:dyDescent="0.25">
      <c r="F134" s="36"/>
      <c r="G134" s="36"/>
      <c r="H134" s="36"/>
      <c r="I134" s="29"/>
    </row>
    <row r="135" spans="6:12" ht="12.75" customHeight="1" x14ac:dyDescent="0.25">
      <c r="F135" s="36"/>
      <c r="G135" s="36"/>
      <c r="H135" s="36"/>
      <c r="I135" s="29"/>
    </row>
    <row r="136" spans="6:12" ht="12.75" customHeight="1" x14ac:dyDescent="0.25">
      <c r="F136" s="36"/>
      <c r="G136" s="36"/>
      <c r="H136" s="36"/>
      <c r="I136" s="29"/>
    </row>
    <row r="137" spans="6:12" ht="12.75" customHeight="1" x14ac:dyDescent="0.25">
      <c r="F137" s="36"/>
      <c r="G137" s="36"/>
      <c r="H137" s="36"/>
      <c r="I137" s="29"/>
      <c r="J137" s="29"/>
      <c r="K137" s="29"/>
      <c r="L137" s="29"/>
    </row>
    <row r="138" spans="6:12" ht="12.75" customHeight="1" x14ac:dyDescent="0.25">
      <c r="F138" s="36"/>
      <c r="G138" s="36"/>
      <c r="H138" s="36"/>
      <c r="I138" s="30"/>
    </row>
    <row r="139" spans="6:12" ht="12.75" customHeight="1" x14ac:dyDescent="0.25">
      <c r="F139" s="36"/>
      <c r="G139" s="36"/>
      <c r="H139" s="36"/>
      <c r="I139" s="29"/>
    </row>
    <row r="140" spans="6:12" ht="12.75" customHeight="1" x14ac:dyDescent="0.25">
      <c r="F140" s="36"/>
      <c r="G140" s="36"/>
      <c r="H140" s="36"/>
    </row>
    <row r="141" spans="6:12" ht="12.75" customHeight="1" x14ac:dyDescent="0.25">
      <c r="F141" s="36"/>
      <c r="G141" s="36"/>
      <c r="H141" s="36"/>
    </row>
    <row r="142" spans="6:12" ht="12.75" customHeight="1" x14ac:dyDescent="0.25">
      <c r="F142" s="36"/>
      <c r="G142" s="36"/>
      <c r="H142" s="36"/>
    </row>
    <row r="143" spans="6:12" ht="12.75" customHeight="1" x14ac:dyDescent="0.25">
      <c r="F143" s="36"/>
      <c r="G143" s="36"/>
      <c r="H143" s="36"/>
      <c r="I143" s="29"/>
    </row>
    <row r="144" spans="6:12" ht="12.75" customHeight="1" x14ac:dyDescent="0.25">
      <c r="F144" s="36"/>
      <c r="G144" s="36"/>
      <c r="H144" s="36"/>
      <c r="I144" s="29"/>
    </row>
    <row r="145" spans="6:9" ht="12.75" customHeight="1" x14ac:dyDescent="0.25">
      <c r="F145" s="36"/>
      <c r="G145" s="36"/>
      <c r="H145" s="36"/>
      <c r="I145" s="29"/>
    </row>
    <row r="146" spans="6:9" ht="12.75" customHeight="1" x14ac:dyDescent="0.25">
      <c r="F146" s="36"/>
      <c r="G146" s="36"/>
      <c r="H146" s="36"/>
    </row>
    <row r="147" spans="6:9" ht="12.75" customHeight="1" x14ac:dyDescent="0.25">
      <c r="F147" s="36"/>
      <c r="G147" s="36"/>
      <c r="H147" s="36"/>
      <c r="I147" s="29"/>
    </row>
    <row r="148" spans="6:9" ht="12.75" customHeight="1" x14ac:dyDescent="0.25">
      <c r="F148" s="36"/>
      <c r="G148" s="36"/>
      <c r="H148" s="36"/>
    </row>
    <row r="149" spans="6:9" ht="12.75" customHeight="1" x14ac:dyDescent="0.25">
      <c r="F149" s="36"/>
      <c r="G149" s="36"/>
      <c r="H149" s="36"/>
      <c r="I149" s="29"/>
    </row>
    <row r="150" spans="6:9" ht="12.75" customHeight="1" x14ac:dyDescent="0.25">
      <c r="F150" s="36"/>
      <c r="G150" s="36"/>
      <c r="H150" s="36"/>
    </row>
    <row r="151" spans="6:9" ht="12.75" customHeight="1" x14ac:dyDescent="0.25">
      <c r="F151" s="36"/>
      <c r="G151" s="36"/>
      <c r="H151" s="36"/>
      <c r="I151" s="29"/>
    </row>
    <row r="152" spans="6:9" ht="12.75" customHeight="1" x14ac:dyDescent="0.25">
      <c r="F152" s="36"/>
      <c r="G152" s="36"/>
      <c r="H152" s="36"/>
      <c r="I152" s="29"/>
    </row>
    <row r="153" spans="6:9" ht="12.75" customHeight="1" x14ac:dyDescent="0.25">
      <c r="F153" s="36"/>
      <c r="G153" s="36"/>
      <c r="H153" s="36"/>
    </row>
    <row r="154" spans="6:9" ht="12.75" customHeight="1" x14ac:dyDescent="0.25">
      <c r="F154" s="36"/>
      <c r="G154" s="36"/>
      <c r="H154" s="36"/>
      <c r="I154" s="29"/>
    </row>
    <row r="155" spans="6:9" ht="12.75" customHeight="1" x14ac:dyDescent="0.25">
      <c r="F155" s="36"/>
      <c r="G155" s="36"/>
      <c r="H155" s="36"/>
    </row>
    <row r="156" spans="6:9" ht="12.75" customHeight="1" x14ac:dyDescent="0.25">
      <c r="F156" s="36"/>
      <c r="G156" s="36"/>
      <c r="H156" s="36"/>
      <c r="I156" s="29"/>
    </row>
    <row r="157" spans="6:9" ht="12.75" customHeight="1" x14ac:dyDescent="0.25">
      <c r="F157" s="36"/>
      <c r="G157" s="36"/>
      <c r="H157" s="36"/>
    </row>
    <row r="158" spans="6:9" ht="12.75" customHeight="1" x14ac:dyDescent="0.25">
      <c r="F158" s="36"/>
      <c r="G158" s="36"/>
      <c r="H158" s="36"/>
      <c r="I158" s="29"/>
    </row>
    <row r="159" spans="6:9" ht="12.75" customHeight="1" x14ac:dyDescent="0.25">
      <c r="F159" s="36"/>
      <c r="G159" s="36"/>
      <c r="H159" s="36"/>
    </row>
    <row r="160" spans="6:9" ht="12.75" customHeight="1" x14ac:dyDescent="0.25">
      <c r="F160" s="36"/>
      <c r="G160" s="36"/>
      <c r="H160" s="36"/>
      <c r="I160" s="29"/>
    </row>
    <row r="161" spans="6:9" ht="12.75" customHeight="1" x14ac:dyDescent="0.25">
      <c r="F161" s="36"/>
      <c r="G161" s="36"/>
      <c r="H161" s="36"/>
    </row>
    <row r="162" spans="6:9" ht="12.75" customHeight="1" x14ac:dyDescent="0.25">
      <c r="F162" s="36"/>
      <c r="G162" s="36"/>
      <c r="H162" s="36"/>
    </row>
    <row r="163" spans="6:9" ht="12.75" customHeight="1" x14ac:dyDescent="0.25">
      <c r="F163" s="36"/>
      <c r="G163" s="36"/>
      <c r="H163" s="36"/>
      <c r="I163" s="29"/>
    </row>
    <row r="164" spans="6:9" ht="12.75" customHeight="1" x14ac:dyDescent="0.25">
      <c r="F164" s="36"/>
      <c r="G164" s="36"/>
      <c r="H164" s="36"/>
    </row>
    <row r="165" spans="6:9" ht="12.75" customHeight="1" x14ac:dyDescent="0.25">
      <c r="F165" s="36"/>
      <c r="G165" s="36"/>
      <c r="H165" s="36"/>
      <c r="I165" s="29"/>
    </row>
    <row r="166" spans="6:9" ht="12.75" customHeight="1" x14ac:dyDescent="0.25">
      <c r="F166" s="36"/>
      <c r="G166" s="36"/>
      <c r="H166" s="36"/>
    </row>
    <row r="167" spans="6:9" ht="12.75" customHeight="1" x14ac:dyDescent="0.25">
      <c r="F167" s="36"/>
      <c r="G167" s="36"/>
      <c r="H167" s="36"/>
      <c r="I167" s="29"/>
    </row>
    <row r="168" spans="6:9" ht="12.75" customHeight="1" x14ac:dyDescent="0.25">
      <c r="F168" s="36"/>
      <c r="G168" s="36"/>
      <c r="H168" s="36"/>
    </row>
    <row r="169" spans="6:9" ht="12.75" customHeight="1" x14ac:dyDescent="0.25">
      <c r="F169" s="36"/>
      <c r="G169" s="36"/>
      <c r="H169" s="36"/>
      <c r="I169" s="29"/>
    </row>
    <row r="170" spans="6:9" ht="12.75" customHeight="1" x14ac:dyDescent="0.25">
      <c r="F170" s="36"/>
      <c r="G170" s="36"/>
      <c r="H170" s="36"/>
    </row>
    <row r="171" spans="6:9" ht="12.75" customHeight="1" x14ac:dyDescent="0.25">
      <c r="F171" s="36"/>
      <c r="G171" s="36"/>
      <c r="H171" s="36"/>
      <c r="I171" s="29"/>
    </row>
    <row r="172" spans="6:9" ht="12.75" customHeight="1" x14ac:dyDescent="0.25">
      <c r="F172" s="36"/>
      <c r="G172" s="36"/>
      <c r="H172" s="36"/>
    </row>
    <row r="173" spans="6:9" ht="12.75" customHeight="1" x14ac:dyDescent="0.25">
      <c r="F173" s="36"/>
      <c r="G173" s="36"/>
      <c r="H173" s="36"/>
      <c r="I173" s="29"/>
    </row>
    <row r="174" spans="6:9" ht="12.75" customHeight="1" x14ac:dyDescent="0.25">
      <c r="F174" s="36"/>
      <c r="G174" s="36"/>
      <c r="H174" s="36"/>
    </row>
    <row r="175" spans="6:9" ht="12.75" customHeight="1" x14ac:dyDescent="0.25">
      <c r="F175" s="36"/>
      <c r="G175" s="36"/>
      <c r="H175" s="36"/>
      <c r="I175" s="29"/>
    </row>
    <row r="176" spans="6:9" ht="12.75" customHeight="1" x14ac:dyDescent="0.25">
      <c r="F176" s="36"/>
      <c r="G176" s="36"/>
      <c r="H176" s="36"/>
    </row>
    <row r="177" spans="6:9" ht="12.75" customHeight="1" x14ac:dyDescent="0.25">
      <c r="F177" s="36"/>
      <c r="G177" s="36"/>
      <c r="H177" s="36"/>
      <c r="I177" s="29"/>
    </row>
    <row r="178" spans="6:9" ht="12.75" customHeight="1" x14ac:dyDescent="0.25">
      <c r="F178" s="36"/>
      <c r="G178" s="36"/>
      <c r="H178" s="36"/>
    </row>
    <row r="179" spans="6:9" ht="12.75" customHeight="1" x14ac:dyDescent="0.25">
      <c r="F179" s="36"/>
      <c r="G179" s="36"/>
      <c r="H179" s="36"/>
      <c r="I179" s="29"/>
    </row>
    <row r="180" spans="6:9" ht="12.75" customHeight="1" x14ac:dyDescent="0.25">
      <c r="F180" s="36"/>
      <c r="G180" s="36"/>
      <c r="H180" s="36"/>
    </row>
    <row r="181" spans="6:9" ht="12.75" customHeight="1" x14ac:dyDescent="0.25">
      <c r="F181" s="36"/>
      <c r="G181" s="36"/>
      <c r="H181" s="36"/>
      <c r="I181" s="29"/>
    </row>
    <row r="182" spans="6:9" ht="12.75" customHeight="1" x14ac:dyDescent="0.25">
      <c r="F182" s="36"/>
      <c r="G182" s="36"/>
      <c r="H182" s="36"/>
    </row>
    <row r="183" spans="6:9" ht="12.75" customHeight="1" x14ac:dyDescent="0.25">
      <c r="F183" s="36"/>
      <c r="G183" s="36"/>
      <c r="H183" s="36"/>
      <c r="I183" s="29"/>
    </row>
    <row r="184" spans="6:9" ht="12.75" customHeight="1" x14ac:dyDescent="0.25">
      <c r="F184" s="36"/>
      <c r="G184" s="36"/>
      <c r="H184" s="36"/>
    </row>
    <row r="185" spans="6:9" ht="12.75" customHeight="1" x14ac:dyDescent="0.25">
      <c r="F185" s="36"/>
      <c r="G185" s="36"/>
      <c r="H185" s="36"/>
      <c r="I185" s="29"/>
    </row>
    <row r="186" spans="6:9" ht="12.75" customHeight="1" x14ac:dyDescent="0.25">
      <c r="F186" s="36"/>
      <c r="G186" s="36"/>
      <c r="H186" s="36"/>
    </row>
    <row r="187" spans="6:9" ht="12.75" customHeight="1" x14ac:dyDescent="0.25">
      <c r="F187" s="36"/>
      <c r="G187" s="36"/>
      <c r="H187" s="36"/>
      <c r="I187" s="29"/>
    </row>
    <row r="188" spans="6:9" ht="12.75" customHeight="1" x14ac:dyDescent="0.25">
      <c r="F188" s="36"/>
      <c r="G188" s="36"/>
      <c r="H188" s="36"/>
    </row>
    <row r="189" spans="6:9" ht="12.75" customHeight="1" x14ac:dyDescent="0.25">
      <c r="F189" s="36"/>
      <c r="G189" s="36"/>
      <c r="H189" s="36"/>
      <c r="I189" s="29"/>
    </row>
    <row r="190" spans="6:9" ht="12.75" customHeight="1" x14ac:dyDescent="0.25">
      <c r="F190" s="36"/>
      <c r="G190" s="36"/>
      <c r="H190" s="36"/>
    </row>
    <row r="191" spans="6:9" ht="12.75" customHeight="1" x14ac:dyDescent="0.25">
      <c r="F191" s="36"/>
      <c r="G191" s="36"/>
      <c r="H191" s="36"/>
      <c r="I191" s="29"/>
    </row>
    <row r="192" spans="6:9" ht="12.75" customHeight="1" x14ac:dyDescent="0.25">
      <c r="F192" s="36"/>
      <c r="G192" s="36"/>
      <c r="H192" s="36"/>
    </row>
    <row r="193" spans="6:9" ht="12.75" customHeight="1" x14ac:dyDescent="0.25">
      <c r="F193" s="36"/>
      <c r="G193" s="36"/>
      <c r="H193" s="36"/>
      <c r="I193" s="29"/>
    </row>
    <row r="194" spans="6:9" ht="12.75" customHeight="1" x14ac:dyDescent="0.25">
      <c r="F194" s="36"/>
      <c r="G194" s="36"/>
      <c r="H194" s="36"/>
    </row>
    <row r="195" spans="6:9" ht="12.75" customHeight="1" x14ac:dyDescent="0.25">
      <c r="F195" s="36"/>
      <c r="G195" s="36"/>
      <c r="H195" s="36"/>
      <c r="I195" s="29"/>
    </row>
    <row r="196" spans="6:9" ht="12.75" customHeight="1" x14ac:dyDescent="0.25">
      <c r="F196" s="36"/>
      <c r="G196" s="36"/>
      <c r="H196" s="36"/>
    </row>
    <row r="197" spans="6:9" ht="12.75" customHeight="1" x14ac:dyDescent="0.25">
      <c r="F197" s="36"/>
      <c r="G197" s="36"/>
      <c r="H197" s="36"/>
      <c r="I197" s="29"/>
    </row>
    <row r="198" spans="6:9" ht="12.75" customHeight="1" x14ac:dyDescent="0.25">
      <c r="F198" s="36"/>
      <c r="G198" s="36"/>
      <c r="H198" s="36"/>
    </row>
    <row r="199" spans="6:9" ht="12.75" customHeight="1" x14ac:dyDescent="0.25">
      <c r="F199" s="36"/>
      <c r="G199" s="36"/>
      <c r="H199" s="36"/>
      <c r="I199" s="29"/>
    </row>
    <row r="200" spans="6:9" ht="12.75" customHeight="1" x14ac:dyDescent="0.25">
      <c r="F200" s="36"/>
      <c r="G200" s="36"/>
      <c r="H200" s="36"/>
    </row>
    <row r="201" spans="6:9" ht="12.75" customHeight="1" x14ac:dyDescent="0.25">
      <c r="F201" s="36"/>
      <c r="G201" s="36"/>
      <c r="H201" s="36"/>
      <c r="I201" s="29"/>
    </row>
    <row r="202" spans="6:9" ht="12.75" customHeight="1" x14ac:dyDescent="0.25">
      <c r="F202" s="36"/>
      <c r="G202" s="36"/>
      <c r="H202" s="36"/>
    </row>
    <row r="203" spans="6:9" ht="12.75" customHeight="1" x14ac:dyDescent="0.25">
      <c r="F203" s="36"/>
      <c r="G203" s="36"/>
      <c r="H203" s="36"/>
      <c r="I203" s="29"/>
    </row>
    <row r="204" spans="6:9" ht="12.75" customHeight="1" x14ac:dyDescent="0.25">
      <c r="F204" s="36"/>
      <c r="G204" s="36"/>
      <c r="H204" s="36"/>
    </row>
    <row r="205" spans="6:9" ht="12.75" customHeight="1" x14ac:dyDescent="0.25">
      <c r="F205" s="36"/>
      <c r="G205" s="36"/>
      <c r="H205" s="36"/>
      <c r="I205" s="29"/>
    </row>
    <row r="206" spans="6:9" ht="12.75" customHeight="1" x14ac:dyDescent="0.25">
      <c r="F206" s="36"/>
      <c r="G206" s="36"/>
      <c r="H206" s="36"/>
    </row>
    <row r="207" spans="6:9" ht="12.75" customHeight="1" x14ac:dyDescent="0.25">
      <c r="F207" s="36"/>
      <c r="G207" s="36"/>
      <c r="H207" s="36"/>
      <c r="I207" s="29"/>
    </row>
    <row r="208" spans="6:9" ht="12.75" customHeight="1" x14ac:dyDescent="0.25">
      <c r="F208" s="36"/>
      <c r="G208" s="36"/>
      <c r="H208" s="36"/>
    </row>
    <row r="209" spans="6:9" ht="12.75" customHeight="1" x14ac:dyDescent="0.25">
      <c r="F209" s="36"/>
      <c r="G209" s="36"/>
      <c r="H209" s="36"/>
      <c r="I209" s="29"/>
    </row>
    <row r="210" spans="6:9" ht="12.75" customHeight="1" x14ac:dyDescent="0.25">
      <c r="F210" s="36"/>
      <c r="G210" s="36"/>
      <c r="H210" s="36"/>
    </row>
    <row r="211" spans="6:9" ht="12.75" customHeight="1" x14ac:dyDescent="0.25">
      <c r="F211" s="36"/>
      <c r="G211" s="36"/>
      <c r="H211" s="36"/>
      <c r="I211" s="29"/>
    </row>
    <row r="212" spans="6:9" ht="12.75" customHeight="1" x14ac:dyDescent="0.25">
      <c r="F212" s="36"/>
      <c r="G212" s="36"/>
      <c r="H212" s="36"/>
    </row>
    <row r="213" spans="6:9" ht="12.75" customHeight="1" x14ac:dyDescent="0.25">
      <c r="F213" s="36"/>
      <c r="G213" s="36"/>
      <c r="H213" s="36"/>
      <c r="I213" s="29"/>
    </row>
    <row r="214" spans="6:9" ht="12.75" customHeight="1" x14ac:dyDescent="0.25">
      <c r="F214" s="36"/>
      <c r="G214" s="36"/>
      <c r="H214" s="36"/>
    </row>
    <row r="215" spans="6:9" ht="12.75" customHeight="1" x14ac:dyDescent="0.25">
      <c r="F215" s="36"/>
      <c r="G215" s="36"/>
      <c r="H215" s="36"/>
    </row>
    <row r="216" spans="6:9" ht="12.75" customHeight="1" x14ac:dyDescent="0.25">
      <c r="F216" s="36"/>
      <c r="G216" s="36"/>
      <c r="H216" s="36"/>
    </row>
    <row r="217" spans="6:9" ht="12.75" customHeight="1" x14ac:dyDescent="0.25">
      <c r="F217" s="36"/>
      <c r="G217" s="36"/>
      <c r="H217" s="36"/>
    </row>
    <row r="218" spans="6:9" ht="12.75" customHeight="1" x14ac:dyDescent="0.25">
      <c r="F218" s="36"/>
      <c r="G218" s="36"/>
      <c r="H218" s="36"/>
    </row>
    <row r="219" spans="6:9" ht="12.75" customHeight="1" x14ac:dyDescent="0.25">
      <c r="F219" s="36"/>
      <c r="G219" s="36"/>
      <c r="H219" s="36"/>
    </row>
    <row r="220" spans="6:9" ht="12.75" customHeight="1" x14ac:dyDescent="0.25">
      <c r="F220" s="36"/>
      <c r="G220" s="36"/>
      <c r="H220" s="36"/>
    </row>
    <row r="221" spans="6:9" ht="12.75" customHeight="1" x14ac:dyDescent="0.25">
      <c r="F221" s="36"/>
      <c r="G221" s="36"/>
      <c r="H221" s="36"/>
    </row>
    <row r="222" spans="6:9" ht="12.75" customHeight="1" x14ac:dyDescent="0.25">
      <c r="F222" s="36"/>
      <c r="G222" s="36"/>
      <c r="H222" s="36"/>
    </row>
    <row r="223" spans="6:9" ht="12.75" customHeight="1" x14ac:dyDescent="0.25">
      <c r="F223" s="36"/>
      <c r="G223" s="36"/>
      <c r="H223" s="36"/>
    </row>
    <row r="224" spans="6:9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/>
    <row r="870" spans="6:8" ht="12.75" customHeight="1" x14ac:dyDescent="0.25"/>
    <row r="871" spans="6:8" ht="12.75" customHeight="1" x14ac:dyDescent="0.25"/>
    <row r="872" spans="6:8" ht="12.75" customHeight="1" x14ac:dyDescent="0.25"/>
    <row r="873" spans="6:8" ht="12.75" customHeight="1" x14ac:dyDescent="0.25"/>
    <row r="874" spans="6:8" ht="12.75" customHeight="1" x14ac:dyDescent="0.25"/>
    <row r="875" spans="6:8" ht="12.75" customHeight="1" x14ac:dyDescent="0.25"/>
    <row r="876" spans="6:8" ht="12.75" customHeight="1" x14ac:dyDescent="0.25"/>
    <row r="877" spans="6:8" ht="12.75" customHeight="1" x14ac:dyDescent="0.25"/>
    <row r="878" spans="6:8" ht="12.75" customHeight="1" x14ac:dyDescent="0.25"/>
    <row r="879" spans="6:8" ht="12.75" customHeight="1" x14ac:dyDescent="0.25"/>
    <row r="880" spans="6:8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dataValidations count="1">
    <dataValidation type="list" allowBlank="1" showErrorMessage="1" sqref="F1" xr:uid="{00000000-0002-0000-0500-000000000000}">
      <formula1>Years</formula1>
    </dataValidation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K1001"/>
  <sheetViews>
    <sheetView tabSelected="1" zoomScaleNormal="100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4296875" defaultRowHeight="15" customHeight="1" x14ac:dyDescent="0.25"/>
  <cols>
    <col min="1" max="1" width="6.1796875" customWidth="1"/>
    <col min="2" max="3" width="8.54296875" customWidth="1"/>
    <col min="4" max="4" width="10.1796875" customWidth="1"/>
    <col min="5" max="5" width="36.1796875" customWidth="1"/>
    <col min="6" max="6" width="13.453125" customWidth="1"/>
    <col min="7" max="8" width="14.81640625" customWidth="1"/>
    <col min="9" max="9" width="16.81640625" customWidth="1"/>
    <col min="10" max="10" width="11.81640625" customWidth="1"/>
    <col min="11" max="26" width="8.54296875" customWidth="1"/>
  </cols>
  <sheetData>
    <row r="1" spans="1:10" ht="12.75" customHeight="1" x14ac:dyDescent="0.25">
      <c r="C1" t="s">
        <v>123</v>
      </c>
      <c r="D1" s="160" t="s">
        <v>133</v>
      </c>
      <c r="E1" s="102"/>
      <c r="F1" s="102"/>
      <c r="G1" s="148" t="s">
        <v>119</v>
      </c>
      <c r="H1" s="34"/>
      <c r="I1" s="145"/>
      <c r="J1" s="120"/>
    </row>
    <row r="2" spans="1:10" ht="12.75" customHeight="1" x14ac:dyDescent="0.25">
      <c r="D2" t="s">
        <v>132</v>
      </c>
      <c r="E2" s="102"/>
      <c r="F2" s="146"/>
      <c r="G2" s="149">
        <v>3</v>
      </c>
      <c r="H2" s="103"/>
      <c r="I2" s="155" t="s">
        <v>41</v>
      </c>
      <c r="J2" s="102"/>
    </row>
    <row r="3" spans="1:10" ht="12.75" customHeight="1" x14ac:dyDescent="0.35">
      <c r="A3" s="30">
        <v>265</v>
      </c>
      <c r="B3" s="30">
        <f>MAX(B5:B853)</f>
        <v>2023</v>
      </c>
      <c r="D3" s="35" cm="1">
        <f t="array" ref="D3">INDEX(D5:D65392, A3)</f>
        <v>0</v>
      </c>
      <c r="E3" s="120"/>
      <c r="F3" s="103"/>
      <c r="G3" s="147" t="s">
        <v>40</v>
      </c>
      <c r="H3" s="150">
        <v>0</v>
      </c>
      <c r="I3" s="154">
        <v>45899</v>
      </c>
      <c r="J3" s="103"/>
    </row>
    <row r="4" spans="1:10" ht="12.75" customHeight="1" x14ac:dyDescent="0.25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3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0" ht="12.75" customHeight="1" x14ac:dyDescent="0.3">
      <c r="A6" s="166" t="s">
        <v>120</v>
      </c>
      <c r="C6" s="166"/>
      <c r="D6" s="166" t="s">
        <v>122</v>
      </c>
      <c r="E6" t="s">
        <v>163</v>
      </c>
    </row>
    <row r="7" spans="1:10" ht="12.75" customHeight="1" x14ac:dyDescent="0.25">
      <c r="A7" s="57">
        <f t="shared" ref="A7:A242" si="0">MONTH(D7)</f>
        <v>10</v>
      </c>
      <c r="B7" s="57">
        <f t="shared" ref="B7:B242" si="1">YEAR(D7)</f>
        <v>2015</v>
      </c>
      <c r="C7" s="37" t="str">
        <f t="shared" ref="C7:C242" si="2">IFERROR("Rent: "&amp;FIND("Rent",E7),IFERROR("Priv Tax: "&amp;FIND("Tax",E7), IFERROR("Income: "&amp;FIND("Payment",E7,1),"")))</f>
        <v/>
      </c>
      <c r="D7" s="28">
        <v>42307</v>
      </c>
      <c r="E7" s="29" t="s">
        <v>49</v>
      </c>
      <c r="F7" s="36"/>
      <c r="G7" s="36">
        <v>2500</v>
      </c>
      <c r="H7" s="58">
        <f>G7</f>
        <v>2500</v>
      </c>
    </row>
    <row r="8" spans="1:10" ht="12.75" customHeight="1" x14ac:dyDescent="0.25">
      <c r="A8" s="57">
        <f t="shared" si="0"/>
        <v>10</v>
      </c>
      <c r="B8" s="57">
        <f t="shared" si="1"/>
        <v>2015</v>
      </c>
      <c r="C8" s="37" t="str">
        <f>IFERROR("Rent: "&amp;FIND("Rent",E8),IFERROR("Priv Tax: "&amp;FIND("Tax",E8), IFERROR("Income: "&amp;FIND("Payment",E8,1),"")))</f>
        <v>Income: 1</v>
      </c>
      <c r="D8" s="28">
        <v>42307</v>
      </c>
      <c r="E8" s="29" t="s">
        <v>51</v>
      </c>
      <c r="F8" s="36">
        <v>2500</v>
      </c>
      <c r="G8" s="36"/>
      <c r="H8" s="58">
        <f t="shared" ref="H8:H242" si="3">H7+G8-F8</f>
        <v>0</v>
      </c>
    </row>
    <row r="9" spans="1:10" ht="12.75" customHeight="1" x14ac:dyDescent="0.25">
      <c r="A9" s="57">
        <f t="shared" si="0"/>
        <v>11</v>
      </c>
      <c r="B9" s="57">
        <f t="shared" si="1"/>
        <v>2015</v>
      </c>
      <c r="C9" s="37" t="str">
        <f t="shared" si="2"/>
        <v>Income: 1</v>
      </c>
      <c r="D9" s="28">
        <v>42320</v>
      </c>
      <c r="E9" s="29" t="s">
        <v>51</v>
      </c>
      <c r="F9" s="36">
        <f>(30-11)/30*2995</f>
        <v>1896.8333333333333</v>
      </c>
      <c r="G9" s="36"/>
      <c r="H9" s="58">
        <f t="shared" si="3"/>
        <v>-1896.8333333333333</v>
      </c>
      <c r="I9" s="59"/>
    </row>
    <row r="10" spans="1:10" ht="12.75" customHeight="1" x14ac:dyDescent="0.25">
      <c r="A10" s="57">
        <f t="shared" si="0"/>
        <v>11</v>
      </c>
      <c r="B10" s="57">
        <f t="shared" si="1"/>
        <v>2015</v>
      </c>
      <c r="C10" s="37" t="str">
        <f t="shared" si="2"/>
        <v>Rent: 1</v>
      </c>
      <c r="D10" s="28">
        <v>42320</v>
      </c>
      <c r="E10" s="29" t="s">
        <v>59</v>
      </c>
      <c r="F10" s="36"/>
      <c r="G10" s="36">
        <f>(30-11)/30*2995</f>
        <v>1896.8333333333333</v>
      </c>
      <c r="H10" s="58">
        <f t="shared" si="3"/>
        <v>0</v>
      </c>
    </row>
    <row r="11" spans="1:10" ht="12.75" customHeight="1" x14ac:dyDescent="0.25">
      <c r="A11" s="57">
        <f t="shared" si="0"/>
        <v>12</v>
      </c>
      <c r="B11" s="57">
        <f t="shared" si="1"/>
        <v>2015</v>
      </c>
      <c r="C11" s="37" t="str">
        <f t="shared" si="2"/>
        <v>Rent: 1</v>
      </c>
      <c r="D11" s="40">
        <v>42339</v>
      </c>
      <c r="E11" s="39" t="str">
        <f>"Rent: "&amp;LOOKUP(A11-1, Months, TextMonths)&amp;" '"&amp;B11</f>
        <v>Rent: Dec '2015</v>
      </c>
      <c r="F11" s="36"/>
      <c r="G11" s="36">
        <v>2995</v>
      </c>
      <c r="H11" s="58">
        <f t="shared" si="3"/>
        <v>2995</v>
      </c>
    </row>
    <row r="12" spans="1:10" ht="12.75" customHeight="1" x14ac:dyDescent="0.25">
      <c r="A12" s="57">
        <f t="shared" si="0"/>
        <v>12</v>
      </c>
      <c r="B12" s="57">
        <f t="shared" si="1"/>
        <v>2015</v>
      </c>
      <c r="C12" s="37" t="str">
        <f t="shared" si="2"/>
        <v>Income: 1</v>
      </c>
      <c r="D12" s="28">
        <v>42339</v>
      </c>
      <c r="E12" s="29" t="s">
        <v>51</v>
      </c>
      <c r="F12" s="36">
        <v>2995</v>
      </c>
      <c r="G12" s="36"/>
      <c r="H12" s="58">
        <f t="shared" si="3"/>
        <v>0</v>
      </c>
    </row>
    <row r="13" spans="1:10" ht="12.75" customHeight="1" x14ac:dyDescent="0.25">
      <c r="A13" s="60">
        <f t="shared" si="0"/>
        <v>1</v>
      </c>
      <c r="B13" s="60">
        <f t="shared" si="1"/>
        <v>2016</v>
      </c>
      <c r="C13" s="42" t="str">
        <f t="shared" si="2"/>
        <v>Rent: 1</v>
      </c>
      <c r="D13" s="61">
        <v>42370</v>
      </c>
      <c r="E13" s="44" t="str">
        <f>"Rent: "&amp;LOOKUP(A13-1, Months, TextMonths)&amp;" '"&amp;B13</f>
        <v>Rent: Jan '2016</v>
      </c>
      <c r="F13" s="45"/>
      <c r="G13" s="45">
        <v>2995</v>
      </c>
      <c r="H13" s="62">
        <f t="shared" si="3"/>
        <v>2995</v>
      </c>
    </row>
    <row r="14" spans="1:10" ht="12.75" customHeight="1" x14ac:dyDescent="0.25">
      <c r="A14" s="57">
        <f t="shared" si="0"/>
        <v>1</v>
      </c>
      <c r="B14" s="57">
        <f t="shared" si="1"/>
        <v>2016</v>
      </c>
      <c r="C14" s="37" t="str">
        <f t="shared" si="2"/>
        <v>Income: 1</v>
      </c>
      <c r="D14" s="28">
        <v>42373</v>
      </c>
      <c r="E14" s="29" t="s">
        <v>51</v>
      </c>
      <c r="F14" s="36">
        <v>1995</v>
      </c>
      <c r="G14" s="36"/>
      <c r="H14" s="63">
        <f t="shared" si="3"/>
        <v>1000</v>
      </c>
    </row>
    <row r="15" spans="1:10" ht="12.75" customHeight="1" x14ac:dyDescent="0.25">
      <c r="A15" s="57">
        <f t="shared" si="0"/>
        <v>1</v>
      </c>
      <c r="B15" s="57">
        <f t="shared" si="1"/>
        <v>2016</v>
      </c>
      <c r="C15" s="37" t="str">
        <f t="shared" si="2"/>
        <v>Income: 1</v>
      </c>
      <c r="D15" s="28">
        <v>42374</v>
      </c>
      <c r="E15" s="29" t="s">
        <v>51</v>
      </c>
      <c r="F15" s="36">
        <v>400</v>
      </c>
      <c r="G15" s="36"/>
      <c r="H15" s="63">
        <f t="shared" si="3"/>
        <v>600</v>
      </c>
    </row>
    <row r="16" spans="1:10" ht="12.75" customHeight="1" x14ac:dyDescent="0.25">
      <c r="A16" s="57">
        <f t="shared" si="0"/>
        <v>1</v>
      </c>
      <c r="B16" s="57">
        <f t="shared" si="1"/>
        <v>2016</v>
      </c>
      <c r="C16" s="37" t="str">
        <f t="shared" si="2"/>
        <v>Income: 1</v>
      </c>
      <c r="D16" s="28">
        <v>42376</v>
      </c>
      <c r="E16" s="29" t="s">
        <v>51</v>
      </c>
      <c r="F16" s="36">
        <v>600</v>
      </c>
      <c r="G16" s="36"/>
      <c r="H16" s="63">
        <f t="shared" si="3"/>
        <v>0</v>
      </c>
    </row>
    <row r="17" spans="1:9" ht="12.75" customHeight="1" x14ac:dyDescent="0.25">
      <c r="A17" s="57">
        <f t="shared" si="0"/>
        <v>2</v>
      </c>
      <c r="B17" s="57">
        <f t="shared" si="1"/>
        <v>2016</v>
      </c>
      <c r="C17" s="37" t="str">
        <f t="shared" si="2"/>
        <v>Rent: 1</v>
      </c>
      <c r="D17" s="40" t="str">
        <f>MONTH(D16)+1 &amp; "/1/" &amp; YEAR(D16)</f>
        <v>2/1/2016</v>
      </c>
      <c r="E17" s="39" t="str">
        <f>"Rent: "&amp;LOOKUP(A17-1, Months, TextMonths)&amp;" '"&amp;B17</f>
        <v>Rent: Feb '2016</v>
      </c>
      <c r="F17" s="36"/>
      <c r="G17" s="36">
        <v>2995</v>
      </c>
      <c r="H17" s="63">
        <f t="shared" si="3"/>
        <v>2995</v>
      </c>
    </row>
    <row r="18" spans="1:9" ht="12.75" customHeight="1" x14ac:dyDescent="0.25">
      <c r="A18" s="57">
        <f t="shared" si="0"/>
        <v>2</v>
      </c>
      <c r="B18" s="57">
        <f t="shared" si="1"/>
        <v>2016</v>
      </c>
      <c r="C18" s="37" t="str">
        <f t="shared" si="2"/>
        <v>Income: 1</v>
      </c>
      <c r="D18" s="28">
        <v>42401</v>
      </c>
      <c r="E18" s="29" t="s">
        <v>51</v>
      </c>
      <c r="F18" s="36">
        <v>1000</v>
      </c>
      <c r="G18" s="36"/>
      <c r="H18" s="63">
        <f t="shared" si="3"/>
        <v>1995</v>
      </c>
    </row>
    <row r="19" spans="1:9" ht="12.75" customHeight="1" x14ac:dyDescent="0.25">
      <c r="A19" s="57">
        <f t="shared" si="0"/>
        <v>2</v>
      </c>
      <c r="B19" s="57">
        <f t="shared" si="1"/>
        <v>2016</v>
      </c>
      <c r="C19" s="37" t="str">
        <f t="shared" si="2"/>
        <v>Income: 1</v>
      </c>
      <c r="D19" s="28">
        <v>42401</v>
      </c>
      <c r="E19" s="29" t="s">
        <v>51</v>
      </c>
      <c r="F19" s="36">
        <v>1995</v>
      </c>
      <c r="G19" s="36"/>
      <c r="H19" s="63">
        <f t="shared" si="3"/>
        <v>0</v>
      </c>
    </row>
    <row r="20" spans="1:9" ht="12.75" customHeight="1" x14ac:dyDescent="0.25">
      <c r="A20" s="57">
        <f t="shared" si="0"/>
        <v>3</v>
      </c>
      <c r="B20" s="57">
        <f t="shared" si="1"/>
        <v>2016</v>
      </c>
      <c r="C20" s="37" t="str">
        <f t="shared" si="2"/>
        <v>Rent: 1</v>
      </c>
      <c r="D20" s="40" t="str">
        <f>MONTH(D19)+1 &amp; "/1/" &amp; YEAR(D19)</f>
        <v>3/1/2016</v>
      </c>
      <c r="E20" s="39" t="str">
        <f>"Rent: "&amp;LOOKUP(A20-1, Months, TextMonths)&amp;" '"&amp;B20</f>
        <v>Rent: Mar '2016</v>
      </c>
      <c r="F20" s="36"/>
      <c r="G20" s="36">
        <v>2995</v>
      </c>
      <c r="H20" s="63">
        <f t="shared" si="3"/>
        <v>2995</v>
      </c>
    </row>
    <row r="21" spans="1:9" ht="12.75" customHeight="1" x14ac:dyDescent="0.25">
      <c r="A21" s="57">
        <f t="shared" si="0"/>
        <v>2</v>
      </c>
      <c r="B21" s="57">
        <f t="shared" si="1"/>
        <v>2016</v>
      </c>
      <c r="C21" s="37" t="str">
        <f t="shared" si="2"/>
        <v>Income: 1</v>
      </c>
      <c r="D21" s="28">
        <v>42429</v>
      </c>
      <c r="E21" s="29" t="s">
        <v>51</v>
      </c>
      <c r="F21" s="36">
        <v>1400</v>
      </c>
      <c r="G21" s="36"/>
      <c r="H21" s="63">
        <f t="shared" si="3"/>
        <v>1595</v>
      </c>
    </row>
    <row r="22" spans="1:9" ht="12.75" customHeight="1" x14ac:dyDescent="0.25">
      <c r="A22" s="57">
        <f t="shared" si="0"/>
        <v>2</v>
      </c>
      <c r="B22" s="57">
        <f t="shared" si="1"/>
        <v>2016</v>
      </c>
      <c r="C22" s="37" t="str">
        <f t="shared" si="2"/>
        <v>Income: 1</v>
      </c>
      <c r="D22" s="28">
        <v>42429</v>
      </c>
      <c r="E22" s="29" t="s">
        <v>51</v>
      </c>
      <c r="F22" s="36">
        <v>1572.82</v>
      </c>
      <c r="G22" s="36"/>
      <c r="H22" s="63">
        <f t="shared" si="3"/>
        <v>22.180000000000064</v>
      </c>
      <c r="I22" s="36"/>
    </row>
    <row r="23" spans="1:9" ht="12" customHeight="1" x14ac:dyDescent="0.25">
      <c r="A23" s="57">
        <f t="shared" si="0"/>
        <v>2</v>
      </c>
      <c r="B23" s="57">
        <f t="shared" si="1"/>
        <v>2016</v>
      </c>
      <c r="C23" s="37" t="str">
        <f t="shared" si="2"/>
        <v/>
      </c>
      <c r="D23" s="28">
        <v>42429</v>
      </c>
      <c r="E23" s="29" t="s">
        <v>60</v>
      </c>
      <c r="F23" s="36">
        <v>22.18</v>
      </c>
      <c r="G23" s="36"/>
      <c r="H23" s="63">
        <f t="shared" si="3"/>
        <v>6.3948846218409017E-14</v>
      </c>
      <c r="I23" s="36"/>
    </row>
    <row r="24" spans="1:9" ht="12.75" customHeight="1" x14ac:dyDescent="0.25">
      <c r="A24" s="57">
        <f t="shared" si="0"/>
        <v>4</v>
      </c>
      <c r="B24" s="57">
        <f t="shared" si="1"/>
        <v>2016</v>
      </c>
      <c r="C24" s="37" t="str">
        <f t="shared" si="2"/>
        <v>Rent: 1</v>
      </c>
      <c r="D24" s="40" t="str">
        <f>MONTH(D23)+2 &amp; "/1/" &amp; YEAR(D23)</f>
        <v>4/1/2016</v>
      </c>
      <c r="E24" s="39" t="str">
        <f>"Rent: "&amp;LOOKUP(A24-1, Months, TextMonths)&amp;" '"&amp;B24</f>
        <v>Rent: Apr '2016</v>
      </c>
      <c r="F24" s="36"/>
      <c r="G24" s="36">
        <v>2995</v>
      </c>
      <c r="H24" s="63">
        <f t="shared" si="3"/>
        <v>2995</v>
      </c>
    </row>
    <row r="25" spans="1:9" ht="12.75" customHeight="1" x14ac:dyDescent="0.25">
      <c r="A25" s="57">
        <f t="shared" si="0"/>
        <v>3</v>
      </c>
      <c r="B25" s="57">
        <f t="shared" si="1"/>
        <v>2016</v>
      </c>
      <c r="C25" s="37" t="str">
        <f t="shared" si="2"/>
        <v>Income: 1</v>
      </c>
      <c r="D25" s="28">
        <v>42460</v>
      </c>
      <c r="E25" s="29" t="s">
        <v>51</v>
      </c>
      <c r="F25" s="36">
        <v>1000</v>
      </c>
      <c r="G25" s="36"/>
      <c r="H25" s="63">
        <f t="shared" si="3"/>
        <v>1995</v>
      </c>
    </row>
    <row r="26" spans="1:9" ht="12.75" customHeight="1" x14ac:dyDescent="0.25">
      <c r="A26" s="57">
        <f t="shared" si="0"/>
        <v>3</v>
      </c>
      <c r="B26" s="57">
        <f t="shared" si="1"/>
        <v>2016</v>
      </c>
      <c r="C26" s="37" t="str">
        <f t="shared" si="2"/>
        <v>Income: 1</v>
      </c>
      <c r="D26" s="28">
        <v>42460</v>
      </c>
      <c r="E26" s="29" t="s">
        <v>51</v>
      </c>
      <c r="F26" s="36">
        <v>1995</v>
      </c>
      <c r="G26" s="36"/>
      <c r="H26" s="63">
        <f t="shared" si="3"/>
        <v>0</v>
      </c>
    </row>
    <row r="27" spans="1:9" ht="12.75" customHeight="1" x14ac:dyDescent="0.25">
      <c r="A27" s="57">
        <f t="shared" si="0"/>
        <v>5</v>
      </c>
      <c r="B27" s="57">
        <f t="shared" si="1"/>
        <v>2016</v>
      </c>
      <c r="C27" s="37" t="str">
        <f t="shared" si="2"/>
        <v>Rent: 1</v>
      </c>
      <c r="D27" s="40" t="str">
        <f>MONTH(D26)+2 &amp; "/1/" &amp; YEAR(D26)</f>
        <v>5/1/2016</v>
      </c>
      <c r="E27" s="39" t="str">
        <f>"Rent: "&amp;LOOKUP(A27-1, Months, TextMonths)&amp;" '"&amp;B27</f>
        <v>Rent: May '2016</v>
      </c>
      <c r="F27" s="36"/>
      <c r="G27" s="36">
        <v>2995</v>
      </c>
      <c r="H27" s="63">
        <f t="shared" si="3"/>
        <v>2995</v>
      </c>
    </row>
    <row r="28" spans="1:9" ht="12.75" customHeight="1" x14ac:dyDescent="0.25">
      <c r="A28" s="57">
        <f t="shared" si="0"/>
        <v>5</v>
      </c>
      <c r="B28" s="57">
        <f t="shared" si="1"/>
        <v>2016</v>
      </c>
      <c r="C28" s="37" t="str">
        <f t="shared" si="2"/>
        <v>Income: 1</v>
      </c>
      <c r="D28" s="28">
        <v>42492</v>
      </c>
      <c r="E28" s="29" t="s">
        <v>51</v>
      </c>
      <c r="F28" s="36">
        <v>1182.58</v>
      </c>
      <c r="G28" s="36"/>
      <c r="H28" s="63">
        <f t="shared" si="3"/>
        <v>1812.42</v>
      </c>
    </row>
    <row r="29" spans="1:9" ht="12.75" customHeight="1" x14ac:dyDescent="0.25">
      <c r="A29" s="57">
        <f t="shared" si="0"/>
        <v>5</v>
      </c>
      <c r="B29" s="57">
        <f t="shared" si="1"/>
        <v>2016</v>
      </c>
      <c r="C29" s="37" t="str">
        <f t="shared" si="2"/>
        <v>Income: 1</v>
      </c>
      <c r="D29" s="28">
        <v>42492</v>
      </c>
      <c r="E29" s="29" t="s">
        <v>51</v>
      </c>
      <c r="F29" s="36">
        <v>1812.42</v>
      </c>
      <c r="G29" s="36"/>
      <c r="H29" s="63">
        <f t="shared" si="3"/>
        <v>0</v>
      </c>
    </row>
    <row r="30" spans="1:9" ht="12.75" customHeight="1" x14ac:dyDescent="0.25">
      <c r="A30" s="57">
        <f t="shared" si="0"/>
        <v>6</v>
      </c>
      <c r="B30" s="57">
        <f t="shared" si="1"/>
        <v>2016</v>
      </c>
      <c r="C30" s="37" t="str">
        <f t="shared" si="2"/>
        <v>Rent: 1</v>
      </c>
      <c r="D30" s="40" t="str">
        <f>MONTH(D29)+1 &amp; "/1/" &amp; YEAR(D29)</f>
        <v>6/1/2016</v>
      </c>
      <c r="E30" s="39" t="str">
        <f>"Rent: "&amp;LOOKUP(A30-1, Months, TextMonths)&amp;" '"&amp;B30</f>
        <v>Rent: Jun '2016</v>
      </c>
      <c r="F30" s="36"/>
      <c r="G30" s="36">
        <v>2995</v>
      </c>
      <c r="H30" s="63">
        <f t="shared" si="3"/>
        <v>2995</v>
      </c>
    </row>
    <row r="31" spans="1:9" ht="12.75" customHeight="1" x14ac:dyDescent="0.25">
      <c r="A31" s="57">
        <f t="shared" si="0"/>
        <v>6</v>
      </c>
      <c r="B31" s="57">
        <f t="shared" si="1"/>
        <v>2016</v>
      </c>
      <c r="C31" s="37" t="str">
        <f t="shared" si="2"/>
        <v>Income: 1</v>
      </c>
      <c r="D31" s="28">
        <v>42522</v>
      </c>
      <c r="E31" s="29" t="s">
        <v>51</v>
      </c>
      <c r="F31" s="36">
        <v>1821</v>
      </c>
      <c r="G31" s="36"/>
      <c r="H31" s="63">
        <f t="shared" si="3"/>
        <v>1174</v>
      </c>
    </row>
    <row r="32" spans="1:9" ht="12.75" customHeight="1" x14ac:dyDescent="0.25">
      <c r="A32" s="57">
        <f t="shared" si="0"/>
        <v>6</v>
      </c>
      <c r="B32" s="57">
        <f t="shared" si="1"/>
        <v>2016</v>
      </c>
      <c r="C32" s="37" t="str">
        <f t="shared" si="2"/>
        <v>Income: 1</v>
      </c>
      <c r="D32" s="28">
        <v>42523</v>
      </c>
      <c r="E32" s="29" t="s">
        <v>51</v>
      </c>
      <c r="F32" s="36">
        <v>1174</v>
      </c>
      <c r="G32" s="36"/>
      <c r="H32" s="63">
        <f t="shared" si="3"/>
        <v>0</v>
      </c>
    </row>
    <row r="33" spans="1:11" ht="12.75" customHeight="1" x14ac:dyDescent="0.25">
      <c r="A33" s="57">
        <f t="shared" si="0"/>
        <v>7</v>
      </c>
      <c r="B33" s="57">
        <f t="shared" si="1"/>
        <v>2016</v>
      </c>
      <c r="C33" s="37" t="str">
        <f t="shared" si="2"/>
        <v>Rent: 1</v>
      </c>
      <c r="D33" s="40" t="str">
        <f>MONTH(D32)+1 &amp; "/1/" &amp; YEAR(D32)</f>
        <v>7/1/2016</v>
      </c>
      <c r="E33" s="39" t="str">
        <f>"Rent: "&amp;LOOKUP(A33-1, Months, TextMonths)&amp;" '"&amp;B33</f>
        <v>Rent: Jul '2016</v>
      </c>
      <c r="F33" s="36"/>
      <c r="G33" s="36">
        <v>2995</v>
      </c>
      <c r="H33" s="63">
        <f t="shared" si="3"/>
        <v>2995</v>
      </c>
    </row>
    <row r="34" spans="1:11" ht="12.75" customHeight="1" x14ac:dyDescent="0.25">
      <c r="A34" s="57">
        <f t="shared" si="0"/>
        <v>6</v>
      </c>
      <c r="B34" s="57">
        <f t="shared" si="1"/>
        <v>2016</v>
      </c>
      <c r="C34" s="37" t="str">
        <f t="shared" si="2"/>
        <v>Income: 1</v>
      </c>
      <c r="D34" s="28">
        <v>42551</v>
      </c>
      <c r="E34" s="29" t="s">
        <v>51</v>
      </c>
      <c r="F34" s="36">
        <v>1495</v>
      </c>
      <c r="G34" s="36"/>
      <c r="H34" s="63">
        <f t="shared" si="3"/>
        <v>1500</v>
      </c>
    </row>
    <row r="35" spans="1:11" ht="12.75" customHeight="1" x14ac:dyDescent="0.25">
      <c r="A35" s="57">
        <f t="shared" si="0"/>
        <v>6</v>
      </c>
      <c r="B35" s="57">
        <f t="shared" si="1"/>
        <v>2016</v>
      </c>
      <c r="C35" s="37" t="str">
        <f t="shared" si="2"/>
        <v>Income: 1</v>
      </c>
      <c r="D35" s="28">
        <v>42551</v>
      </c>
      <c r="E35" s="29" t="s">
        <v>51</v>
      </c>
      <c r="F35" s="36">
        <v>1500</v>
      </c>
      <c r="G35" s="36"/>
      <c r="H35" s="63">
        <f t="shared" si="3"/>
        <v>0</v>
      </c>
    </row>
    <row r="36" spans="1:11" ht="12.75" customHeight="1" x14ac:dyDescent="0.25">
      <c r="A36" s="57">
        <f t="shared" si="0"/>
        <v>8</v>
      </c>
      <c r="B36" s="57">
        <f t="shared" si="1"/>
        <v>2016</v>
      </c>
      <c r="C36" s="37" t="str">
        <f t="shared" si="2"/>
        <v>Rent: 1</v>
      </c>
      <c r="D36" s="40" t="str">
        <f>MONTH(D33)+1 &amp; "/1/" &amp; YEAR(D35)</f>
        <v>8/1/2016</v>
      </c>
      <c r="E36" s="39" t="str">
        <f>"Rent: "&amp;LOOKUP(A36-1, Months, TextMonths)&amp;" '"&amp;B36</f>
        <v>Rent: Aug '2016</v>
      </c>
      <c r="F36" s="36"/>
      <c r="G36" s="36">
        <v>2995</v>
      </c>
      <c r="H36" s="63">
        <f t="shared" si="3"/>
        <v>2995</v>
      </c>
    </row>
    <row r="37" spans="1:11" ht="12.75" customHeight="1" x14ac:dyDescent="0.25">
      <c r="A37" s="57">
        <f t="shared" si="0"/>
        <v>8</v>
      </c>
      <c r="B37" s="57">
        <f t="shared" si="1"/>
        <v>2016</v>
      </c>
      <c r="C37" s="37" t="str">
        <f t="shared" si="2"/>
        <v>Income: 1</v>
      </c>
      <c r="D37" s="28">
        <v>42583</v>
      </c>
      <c r="E37" s="29" t="s">
        <v>51</v>
      </c>
      <c r="F37" s="36">
        <v>2995</v>
      </c>
      <c r="G37" s="36"/>
      <c r="H37" s="63">
        <f t="shared" si="3"/>
        <v>0</v>
      </c>
    </row>
    <row r="38" spans="1:11" ht="12.75" customHeight="1" x14ac:dyDescent="0.25">
      <c r="A38" s="57">
        <f t="shared" si="0"/>
        <v>9</v>
      </c>
      <c r="B38" s="57">
        <f t="shared" si="1"/>
        <v>2016</v>
      </c>
      <c r="C38" s="37" t="str">
        <f t="shared" si="2"/>
        <v>Rent: 1</v>
      </c>
      <c r="D38" s="40" t="str">
        <f>MONTH(D37)+1 &amp; "/1/" &amp; YEAR(D37)</f>
        <v>9/1/2016</v>
      </c>
      <c r="E38" s="39" t="str">
        <f>"Rent: "&amp;LOOKUP(A38-1, Months, TextMonths)&amp;" '"&amp;B38</f>
        <v>Rent: Sep '2016</v>
      </c>
      <c r="F38" s="36"/>
      <c r="G38" s="36">
        <v>2995</v>
      </c>
      <c r="H38" s="63">
        <f t="shared" si="3"/>
        <v>2995</v>
      </c>
    </row>
    <row r="39" spans="1:11" ht="12.75" customHeight="1" x14ac:dyDescent="0.25">
      <c r="A39" s="57">
        <f t="shared" si="0"/>
        <v>9</v>
      </c>
      <c r="B39" s="57">
        <f t="shared" si="1"/>
        <v>2016</v>
      </c>
      <c r="C39" s="37" t="str">
        <f t="shared" si="2"/>
        <v>Income: 1</v>
      </c>
      <c r="D39" s="28">
        <v>42614</v>
      </c>
      <c r="E39" s="29" t="s">
        <v>51</v>
      </c>
      <c r="F39" s="36">
        <v>2995</v>
      </c>
      <c r="G39" s="36"/>
      <c r="H39" s="63">
        <f t="shared" si="3"/>
        <v>0</v>
      </c>
    </row>
    <row r="40" spans="1:11" ht="12.75" customHeight="1" x14ac:dyDescent="0.25">
      <c r="A40" s="57">
        <f t="shared" si="0"/>
        <v>10</v>
      </c>
      <c r="B40" s="57">
        <f t="shared" si="1"/>
        <v>2016</v>
      </c>
      <c r="C40" s="37" t="str">
        <f t="shared" si="2"/>
        <v>Rent: 1</v>
      </c>
      <c r="D40" s="40" t="str">
        <f>MONTH(D39)+1 &amp; "/1/" &amp; YEAR(D39)</f>
        <v>10/1/2016</v>
      </c>
      <c r="E40" s="39" t="str">
        <f>"Rent: "&amp;LOOKUP(A40-1, Months, TextMonths)&amp;" '"&amp;B40</f>
        <v>Rent: Oct '2016</v>
      </c>
      <c r="F40" s="36"/>
      <c r="G40" s="36">
        <v>2995</v>
      </c>
      <c r="H40" s="63">
        <f t="shared" si="3"/>
        <v>2995</v>
      </c>
    </row>
    <row r="41" spans="1:11" ht="12.75" customHeight="1" x14ac:dyDescent="0.25">
      <c r="A41" s="57">
        <f t="shared" si="0"/>
        <v>10</v>
      </c>
      <c r="B41" s="57">
        <f t="shared" si="1"/>
        <v>2016</v>
      </c>
      <c r="C41" s="37" t="str">
        <f t="shared" si="2"/>
        <v>Income: 1</v>
      </c>
      <c r="D41" s="28">
        <v>42646</v>
      </c>
      <c r="E41" s="29" t="s">
        <v>51</v>
      </c>
      <c r="F41" s="36">
        <v>500</v>
      </c>
      <c r="G41" s="36"/>
      <c r="H41" s="63">
        <f t="shared" si="3"/>
        <v>2495</v>
      </c>
    </row>
    <row r="42" spans="1:11" ht="12.75" customHeight="1" x14ac:dyDescent="0.25">
      <c r="A42" s="57">
        <f t="shared" si="0"/>
        <v>10</v>
      </c>
      <c r="B42" s="57">
        <f t="shared" si="1"/>
        <v>2016</v>
      </c>
      <c r="C42" s="37" t="str">
        <f t="shared" si="2"/>
        <v>Income: 1</v>
      </c>
      <c r="D42" s="28">
        <v>42646</v>
      </c>
      <c r="E42" s="29" t="s">
        <v>51</v>
      </c>
      <c r="F42" s="36">
        <v>2495</v>
      </c>
      <c r="G42" s="36"/>
      <c r="H42" s="63">
        <f t="shared" si="3"/>
        <v>0</v>
      </c>
    </row>
    <row r="43" spans="1:11" ht="12.75" customHeight="1" x14ac:dyDescent="0.25">
      <c r="A43" s="57">
        <f t="shared" si="0"/>
        <v>11</v>
      </c>
      <c r="B43" s="57">
        <f t="shared" si="1"/>
        <v>2016</v>
      </c>
      <c r="C43" s="37" t="str">
        <f t="shared" si="2"/>
        <v>Rent: 1</v>
      </c>
      <c r="D43" s="40" t="str">
        <f>MONTH(D42)+1 &amp; "/1/" &amp; YEAR(D42)</f>
        <v>11/1/2016</v>
      </c>
      <c r="E43" s="39" t="str">
        <f>"Rent: "&amp;LOOKUP(A43-1, Months, TextMonths)&amp;" '"&amp;B43</f>
        <v>Rent: Nov '2016</v>
      </c>
      <c r="F43" s="36"/>
      <c r="G43" s="36">
        <v>2995</v>
      </c>
      <c r="H43" s="63">
        <f t="shared" si="3"/>
        <v>2995</v>
      </c>
    </row>
    <row r="44" spans="1:11" ht="12.75" customHeight="1" x14ac:dyDescent="0.25">
      <c r="A44" s="57">
        <f t="shared" si="0"/>
        <v>11</v>
      </c>
      <c r="B44" s="57">
        <f t="shared" si="1"/>
        <v>2016</v>
      </c>
      <c r="C44" s="37" t="str">
        <f t="shared" si="2"/>
        <v>Income: 1</v>
      </c>
      <c r="D44" s="28">
        <v>42675</v>
      </c>
      <c r="E44" s="29" t="s">
        <v>51</v>
      </c>
      <c r="F44" s="36">
        <v>775</v>
      </c>
      <c r="G44" s="36"/>
      <c r="H44" s="63">
        <f t="shared" si="3"/>
        <v>2220</v>
      </c>
    </row>
    <row r="45" spans="1:11" ht="12.75" customHeight="1" x14ac:dyDescent="0.25">
      <c r="A45" s="57">
        <f t="shared" si="0"/>
        <v>11</v>
      </c>
      <c r="B45" s="57">
        <f t="shared" si="1"/>
        <v>2016</v>
      </c>
      <c r="C45" s="37" t="str">
        <f t="shared" si="2"/>
        <v>Income: 1</v>
      </c>
      <c r="D45" s="28">
        <v>42675</v>
      </c>
      <c r="E45" s="29" t="s">
        <v>51</v>
      </c>
      <c r="F45" s="36">
        <v>2220</v>
      </c>
      <c r="G45" s="36"/>
      <c r="H45" s="63">
        <f t="shared" si="3"/>
        <v>0</v>
      </c>
    </row>
    <row r="46" spans="1:11" ht="12.75" customHeight="1" x14ac:dyDescent="0.25">
      <c r="A46" s="57">
        <f t="shared" si="0"/>
        <v>12</v>
      </c>
      <c r="B46" s="57">
        <f t="shared" si="1"/>
        <v>2016</v>
      </c>
      <c r="C46" s="37" t="str">
        <f t="shared" si="2"/>
        <v>Rent: 1</v>
      </c>
      <c r="D46" s="40" t="str">
        <f>MONTH(D44)+1 &amp; "/1/" &amp; YEAR(D44)</f>
        <v>12/1/2016</v>
      </c>
      <c r="E46" s="39" t="str">
        <f>"Rent: "&amp;LOOKUP(A46-1, Months, TextMonths)&amp;" '"&amp;B46</f>
        <v>Rent: Dec '2016</v>
      </c>
      <c r="F46" s="36"/>
      <c r="G46" s="36">
        <v>2995</v>
      </c>
      <c r="H46" s="63">
        <f t="shared" si="3"/>
        <v>2995</v>
      </c>
    </row>
    <row r="47" spans="1:11" ht="12.75" customHeight="1" x14ac:dyDescent="0.25">
      <c r="A47" s="64">
        <f t="shared" si="0"/>
        <v>12</v>
      </c>
      <c r="B47" s="64">
        <f t="shared" si="1"/>
        <v>2016</v>
      </c>
      <c r="C47" s="47" t="str">
        <f t="shared" si="2"/>
        <v>Income: 1</v>
      </c>
      <c r="D47" s="48">
        <v>42705</v>
      </c>
      <c r="E47" s="49" t="s">
        <v>51</v>
      </c>
      <c r="F47" s="50">
        <v>2995</v>
      </c>
      <c r="G47" s="50"/>
      <c r="H47" s="65">
        <f t="shared" si="3"/>
        <v>0</v>
      </c>
      <c r="I47" s="30"/>
      <c r="J47" s="30"/>
    </row>
    <row r="48" spans="1:11" ht="12.75" customHeight="1" x14ac:dyDescent="0.25">
      <c r="A48" s="57">
        <f t="shared" si="0"/>
        <v>1</v>
      </c>
      <c r="B48" s="57">
        <f t="shared" si="1"/>
        <v>2017</v>
      </c>
      <c r="C48" s="37" t="str">
        <f t="shared" si="2"/>
        <v>Rent: 1</v>
      </c>
      <c r="D48" s="40" t="str">
        <f>MOD(MONTH(D46), 12)+1 &amp; "/1/" &amp; IF(MONTH(D46)&gt;11, YEAR(D46)+1, YEAR(D46))</f>
        <v>1/1/2017</v>
      </c>
      <c r="E48" s="39" t="str">
        <f>"Rent: "&amp;LOOKUP(A48-1, Months, TextMonths)&amp;" '"&amp;B48</f>
        <v>Rent: Jan '2017</v>
      </c>
      <c r="F48" s="36"/>
      <c r="G48" s="36">
        <v>2995</v>
      </c>
      <c r="H48" s="63">
        <f t="shared" si="3"/>
        <v>2995</v>
      </c>
      <c r="I48" s="15"/>
      <c r="J48" s="15"/>
      <c r="K48" s="30"/>
    </row>
    <row r="49" spans="1:10" ht="12.75" customHeight="1" x14ac:dyDescent="0.25">
      <c r="A49" s="57">
        <f t="shared" si="0"/>
        <v>12</v>
      </c>
      <c r="B49" s="57">
        <f t="shared" si="1"/>
        <v>2016</v>
      </c>
      <c r="C49" s="37" t="str">
        <f t="shared" si="2"/>
        <v>Income: 1</v>
      </c>
      <c r="D49" s="28">
        <v>42734</v>
      </c>
      <c r="E49" s="29" t="s">
        <v>51</v>
      </c>
      <c r="F49" s="36">
        <v>1995</v>
      </c>
      <c r="G49" s="36"/>
      <c r="H49" s="63">
        <f t="shared" si="3"/>
        <v>1000</v>
      </c>
      <c r="I49" s="30"/>
    </row>
    <row r="50" spans="1:10" ht="12.75" customHeight="1" x14ac:dyDescent="0.25">
      <c r="A50" s="57">
        <f t="shared" si="0"/>
        <v>12</v>
      </c>
      <c r="B50" s="57">
        <f t="shared" si="1"/>
        <v>2016</v>
      </c>
      <c r="C50" s="37" t="str">
        <f t="shared" si="2"/>
        <v>Income: 1</v>
      </c>
      <c r="D50" s="28">
        <v>42734</v>
      </c>
      <c r="E50" s="29" t="s">
        <v>51</v>
      </c>
      <c r="F50" s="36">
        <v>1000</v>
      </c>
      <c r="G50" s="36"/>
      <c r="H50" s="63">
        <f t="shared" si="3"/>
        <v>0</v>
      </c>
      <c r="I50" s="15"/>
      <c r="J50" s="15"/>
    </row>
    <row r="51" spans="1:10" ht="12.75" customHeight="1" x14ac:dyDescent="0.25">
      <c r="A51" s="57">
        <f t="shared" si="0"/>
        <v>2</v>
      </c>
      <c r="B51" s="57">
        <f t="shared" si="1"/>
        <v>2017</v>
      </c>
      <c r="C51" s="37" t="str">
        <f t="shared" si="2"/>
        <v>Rent: 1</v>
      </c>
      <c r="D51" s="40" t="str">
        <f>MOD(MONTH(D48), 12)+1 &amp; "/1/" &amp; IF(MONTH(D48)&gt;11, YEAR(D48)+1, YEAR(D48))</f>
        <v>2/1/2017</v>
      </c>
      <c r="E51" s="39" t="str">
        <f>"Rent: "&amp;LOOKUP(A51-1, Months, TextMonths)&amp;" '"&amp;B51</f>
        <v>Rent: Feb '2017</v>
      </c>
      <c r="F51" s="36"/>
      <c r="G51" s="36">
        <v>2995</v>
      </c>
      <c r="H51" s="63">
        <f t="shared" si="3"/>
        <v>2995</v>
      </c>
    </row>
    <row r="52" spans="1:10" ht="12.75" customHeight="1" x14ac:dyDescent="0.25">
      <c r="A52" s="57">
        <f t="shared" si="0"/>
        <v>2</v>
      </c>
      <c r="B52" s="57">
        <f t="shared" si="1"/>
        <v>2017</v>
      </c>
      <c r="C52" s="37" t="str">
        <f t="shared" si="2"/>
        <v>Income: 1</v>
      </c>
      <c r="D52" s="28">
        <v>42767</v>
      </c>
      <c r="E52" s="29" t="s">
        <v>51</v>
      </c>
      <c r="F52" s="36">
        <v>2995</v>
      </c>
      <c r="G52" s="36"/>
      <c r="H52" s="63">
        <f t="shared" si="3"/>
        <v>0</v>
      </c>
    </row>
    <row r="53" spans="1:10" ht="12.75" customHeight="1" x14ac:dyDescent="0.25">
      <c r="A53" s="57">
        <f t="shared" si="0"/>
        <v>3</v>
      </c>
      <c r="B53" s="57">
        <f t="shared" si="1"/>
        <v>2017</v>
      </c>
      <c r="C53" s="37" t="str">
        <f t="shared" si="2"/>
        <v>Rent: 1</v>
      </c>
      <c r="D53" s="40" t="str">
        <f>MOD(MONTH(D51), 12)+1 &amp; "/1/" &amp; IF(MONTH(D51)&gt;11, YEAR(D51)+1, YEAR(D51))</f>
        <v>3/1/2017</v>
      </c>
      <c r="E53" s="39" t="str">
        <f>"Rent: "&amp;LOOKUP(A53-1, Months, TextMonths)&amp;" '"&amp;B53</f>
        <v>Rent: Mar '2017</v>
      </c>
      <c r="F53" s="36"/>
      <c r="G53" s="36">
        <v>2995</v>
      </c>
      <c r="H53" s="63">
        <f t="shared" si="3"/>
        <v>2995</v>
      </c>
    </row>
    <row r="54" spans="1:10" ht="12.75" customHeight="1" x14ac:dyDescent="0.25">
      <c r="A54" s="57">
        <f t="shared" si="0"/>
        <v>3</v>
      </c>
      <c r="B54" s="57">
        <f t="shared" si="1"/>
        <v>2017</v>
      </c>
      <c r="C54" s="37" t="str">
        <f t="shared" si="2"/>
        <v>Income: 1</v>
      </c>
      <c r="D54" s="28">
        <v>42795</v>
      </c>
      <c r="E54" s="29" t="s">
        <v>51</v>
      </c>
      <c r="F54" s="36">
        <v>2995</v>
      </c>
      <c r="G54" s="36"/>
      <c r="H54" s="63">
        <f t="shared" si="3"/>
        <v>0</v>
      </c>
    </row>
    <row r="55" spans="1:10" ht="12.75" customHeight="1" x14ac:dyDescent="0.25">
      <c r="A55" s="57">
        <f t="shared" si="0"/>
        <v>4</v>
      </c>
      <c r="B55" s="57">
        <f t="shared" si="1"/>
        <v>2017</v>
      </c>
      <c r="C55" s="37" t="str">
        <f t="shared" si="2"/>
        <v>Rent: 1</v>
      </c>
      <c r="D55" s="40" t="str">
        <f>MOD(MONTH(D53), 12)+1 &amp; "/1/" &amp; IF(MONTH(D53)&gt;11, YEAR(D53)+1, YEAR(D53))</f>
        <v>4/1/2017</v>
      </c>
      <c r="E55" s="39" t="str">
        <f>"Rent: "&amp;LOOKUP(A55-1, Months, TextMonths)&amp;" '"&amp;B55</f>
        <v>Rent: Apr '2017</v>
      </c>
      <c r="F55" s="36"/>
      <c r="G55" s="36">
        <v>2995</v>
      </c>
      <c r="H55" s="63">
        <f t="shared" si="3"/>
        <v>2995</v>
      </c>
    </row>
    <row r="56" spans="1:10" ht="12.75" customHeight="1" x14ac:dyDescent="0.25">
      <c r="A56" s="57">
        <f t="shared" si="0"/>
        <v>3</v>
      </c>
      <c r="B56" s="57">
        <f t="shared" si="1"/>
        <v>2017</v>
      </c>
      <c r="C56" s="37" t="str">
        <f t="shared" si="2"/>
        <v>Income: 1</v>
      </c>
      <c r="D56" s="28">
        <v>42825</v>
      </c>
      <c r="E56" s="29" t="s">
        <v>51</v>
      </c>
      <c r="F56" s="36">
        <v>2995</v>
      </c>
      <c r="G56" s="36"/>
      <c r="H56" s="63">
        <f t="shared" si="3"/>
        <v>0</v>
      </c>
    </row>
    <row r="57" spans="1:10" ht="12.75" customHeight="1" x14ac:dyDescent="0.25">
      <c r="A57" s="57">
        <f t="shared" si="0"/>
        <v>5</v>
      </c>
      <c r="B57" s="57">
        <f t="shared" si="1"/>
        <v>2017</v>
      </c>
      <c r="C57" s="37" t="str">
        <f t="shared" si="2"/>
        <v>Rent: 1</v>
      </c>
      <c r="D57" s="40" t="str">
        <f>MOD(MONTH(D55), 12)+1 &amp; "/1/" &amp; IF(MONTH(D55)&gt;11, YEAR(D55)+1, YEAR(D55))</f>
        <v>5/1/2017</v>
      </c>
      <c r="E57" s="39" t="str">
        <f>"Rent: "&amp;LOOKUP(A57-1, Months, TextMonths)&amp;" '"&amp;B57</f>
        <v>Rent: May '2017</v>
      </c>
      <c r="F57" s="36"/>
      <c r="G57" s="36">
        <v>2995</v>
      </c>
      <c r="H57" s="63">
        <f t="shared" si="3"/>
        <v>2995</v>
      </c>
    </row>
    <row r="58" spans="1:10" ht="12.75" customHeight="1" x14ac:dyDescent="0.25">
      <c r="A58" s="57">
        <f t="shared" si="0"/>
        <v>5</v>
      </c>
      <c r="B58" s="57">
        <f t="shared" si="1"/>
        <v>2017</v>
      </c>
      <c r="C58" s="37" t="str">
        <f t="shared" si="2"/>
        <v>Income: 1</v>
      </c>
      <c r="D58" s="28">
        <v>42856</v>
      </c>
      <c r="E58" s="29" t="s">
        <v>51</v>
      </c>
      <c r="F58" s="36">
        <v>2995</v>
      </c>
      <c r="G58" s="36"/>
      <c r="H58" s="63">
        <f t="shared" si="3"/>
        <v>0</v>
      </c>
    </row>
    <row r="59" spans="1:10" ht="12.75" customHeight="1" x14ac:dyDescent="0.25">
      <c r="A59" s="57">
        <f t="shared" si="0"/>
        <v>6</v>
      </c>
      <c r="B59" s="57">
        <f t="shared" si="1"/>
        <v>2017</v>
      </c>
      <c r="C59" s="37" t="str">
        <f t="shared" si="2"/>
        <v>Rent: 1</v>
      </c>
      <c r="D59" s="40" t="str">
        <f>MOD(MONTH(D57), 12)+1 &amp; "/1/" &amp; IF(MONTH(D57)&gt;11, YEAR(D57)+1, YEAR(D57))</f>
        <v>6/1/2017</v>
      </c>
      <c r="E59" s="39" t="str">
        <f>"Rent: "&amp;LOOKUP(A59-1, Months, TextMonths)&amp;" '"&amp;B59</f>
        <v>Rent: Jun '2017</v>
      </c>
      <c r="F59" s="36"/>
      <c r="G59" s="36">
        <v>2995</v>
      </c>
      <c r="H59" s="63">
        <f t="shared" si="3"/>
        <v>2995</v>
      </c>
    </row>
    <row r="60" spans="1:10" ht="12.75" customHeight="1" x14ac:dyDescent="0.25">
      <c r="A60" s="57">
        <f t="shared" si="0"/>
        <v>6</v>
      </c>
      <c r="B60" s="57">
        <f t="shared" si="1"/>
        <v>2017</v>
      </c>
      <c r="C60" s="37" t="str">
        <f t="shared" si="2"/>
        <v>Income: 1</v>
      </c>
      <c r="D60" s="28">
        <v>42887</v>
      </c>
      <c r="E60" s="29" t="s">
        <v>51</v>
      </c>
      <c r="F60" s="36">
        <v>2995</v>
      </c>
      <c r="G60" s="36"/>
      <c r="H60" s="63">
        <f t="shared" si="3"/>
        <v>0</v>
      </c>
    </row>
    <row r="61" spans="1:10" ht="12.75" customHeight="1" x14ac:dyDescent="0.25">
      <c r="A61" s="57">
        <f t="shared" si="0"/>
        <v>7</v>
      </c>
      <c r="B61" s="57">
        <f t="shared" si="1"/>
        <v>2017</v>
      </c>
      <c r="C61" s="37" t="str">
        <f t="shared" si="2"/>
        <v>Rent: 1</v>
      </c>
      <c r="D61" s="40" t="str">
        <f>MOD(MONTH(D59), 12)+1 &amp; "/1/" &amp; IF(MONTH(D59)&gt;11, YEAR(D59)+1, YEAR(D59))</f>
        <v>7/1/2017</v>
      </c>
      <c r="E61" s="39" t="str">
        <f>"Rent: "&amp;LOOKUP(A61-1, Months, TextMonths)&amp;" '"&amp;B61</f>
        <v>Rent: Jul '2017</v>
      </c>
      <c r="F61" s="36"/>
      <c r="G61" s="36">
        <v>2995</v>
      </c>
      <c r="H61" s="63">
        <f t="shared" si="3"/>
        <v>2995</v>
      </c>
    </row>
    <row r="62" spans="1:10" ht="12.75" customHeight="1" x14ac:dyDescent="0.25">
      <c r="A62" s="57">
        <f t="shared" si="0"/>
        <v>6</v>
      </c>
      <c r="B62" s="57">
        <f t="shared" si="1"/>
        <v>2017</v>
      </c>
      <c r="C62" s="37" t="str">
        <f t="shared" si="2"/>
        <v>Income: 1</v>
      </c>
      <c r="D62" s="28">
        <v>42916</v>
      </c>
      <c r="E62" s="29" t="s">
        <v>51</v>
      </c>
      <c r="F62" s="36">
        <v>2995</v>
      </c>
      <c r="G62" s="36"/>
      <c r="H62" s="63">
        <f t="shared" si="3"/>
        <v>0</v>
      </c>
    </row>
    <row r="63" spans="1:10" ht="12.75" customHeight="1" x14ac:dyDescent="0.25">
      <c r="A63" s="57">
        <f t="shared" si="0"/>
        <v>8</v>
      </c>
      <c r="B63" s="57">
        <f t="shared" si="1"/>
        <v>2017</v>
      </c>
      <c r="C63" s="37" t="str">
        <f t="shared" si="2"/>
        <v>Rent: 1</v>
      </c>
      <c r="D63" s="40" t="str">
        <f>MOD(MONTH(D61), 12)+1 &amp; "/1/" &amp; IF(MONTH(D61)&gt;11, YEAR(D61)+1, YEAR(D61))</f>
        <v>8/1/2017</v>
      </c>
      <c r="E63" s="39" t="str">
        <f>"Rent: "&amp;LOOKUP(A63-1, Months, TextMonths)&amp;" '"&amp;B63</f>
        <v>Rent: Aug '2017</v>
      </c>
      <c r="F63" s="36"/>
      <c r="G63" s="36">
        <v>2995</v>
      </c>
      <c r="H63" s="63">
        <f t="shared" si="3"/>
        <v>2995</v>
      </c>
    </row>
    <row r="64" spans="1:10" ht="12.75" customHeight="1" x14ac:dyDescent="0.25">
      <c r="A64" s="57">
        <f t="shared" si="0"/>
        <v>6</v>
      </c>
      <c r="B64" s="57">
        <f t="shared" si="1"/>
        <v>2017</v>
      </c>
      <c r="C64" s="37" t="str">
        <f t="shared" si="2"/>
        <v>Income: 1</v>
      </c>
      <c r="D64" s="28">
        <v>42916</v>
      </c>
      <c r="E64" s="29" t="s">
        <v>51</v>
      </c>
      <c r="F64" s="36">
        <v>2995</v>
      </c>
      <c r="G64" s="36"/>
      <c r="H64" s="63">
        <f t="shared" si="3"/>
        <v>0</v>
      </c>
    </row>
    <row r="65" spans="1:11" ht="12.75" customHeight="1" x14ac:dyDescent="0.25">
      <c r="A65" s="57">
        <f t="shared" si="0"/>
        <v>9</v>
      </c>
      <c r="B65" s="57">
        <f t="shared" si="1"/>
        <v>2017</v>
      </c>
      <c r="C65" s="37" t="str">
        <f t="shared" si="2"/>
        <v>Rent: 1</v>
      </c>
      <c r="D65" s="40" t="str">
        <f>MOD(MONTH(D63), 12)+1 &amp; "/1/" &amp; IF(MONTH(D63)&gt;11, YEAR(D63)+1, YEAR(D63))</f>
        <v>9/1/2017</v>
      </c>
      <c r="E65" s="39" t="str">
        <f>"Rent: "&amp;LOOKUP(A65-1, Months, TextMonths)&amp;" '"&amp;B65</f>
        <v>Rent: Sep '2017</v>
      </c>
      <c r="F65" s="36"/>
      <c r="G65" s="36">
        <v>2995</v>
      </c>
      <c r="H65" s="63">
        <f t="shared" si="3"/>
        <v>2995</v>
      </c>
    </row>
    <row r="66" spans="1:11" ht="12.75" customHeight="1" x14ac:dyDescent="0.25">
      <c r="A66" s="57">
        <f t="shared" si="0"/>
        <v>9</v>
      </c>
      <c r="B66" s="57">
        <f t="shared" si="1"/>
        <v>2017</v>
      </c>
      <c r="C66" s="37" t="str">
        <f t="shared" si="2"/>
        <v>Income: 1</v>
      </c>
      <c r="D66" s="28">
        <v>42979</v>
      </c>
      <c r="E66" s="29" t="s">
        <v>51</v>
      </c>
      <c r="F66" s="36">
        <v>2995</v>
      </c>
      <c r="G66" s="36"/>
      <c r="H66" s="63">
        <f t="shared" si="3"/>
        <v>0</v>
      </c>
    </row>
    <row r="67" spans="1:11" ht="12.75" customHeight="1" x14ac:dyDescent="0.25">
      <c r="A67" s="57">
        <f t="shared" si="0"/>
        <v>10</v>
      </c>
      <c r="B67" s="57">
        <f t="shared" si="1"/>
        <v>2017</v>
      </c>
      <c r="C67" s="37" t="str">
        <f t="shared" si="2"/>
        <v>Rent: 1</v>
      </c>
      <c r="D67" s="40" t="str">
        <f>MOD(MONTH(D65), 12)+1 &amp; "/1/" &amp; IF(MONTH(D65)&gt;11, YEAR(D65)+1, YEAR(D65))</f>
        <v>10/1/2017</v>
      </c>
      <c r="E67" s="39" t="str">
        <f>"Rent: "&amp;LOOKUP(A67-1, Months, TextMonths)&amp;" '"&amp;B67</f>
        <v>Rent: Oct '2017</v>
      </c>
      <c r="F67" s="36"/>
      <c r="G67" s="36">
        <v>2995</v>
      </c>
      <c r="H67" s="63">
        <f t="shared" si="3"/>
        <v>2995</v>
      </c>
      <c r="J67" s="30"/>
    </row>
    <row r="68" spans="1:11" ht="12.75" customHeight="1" x14ac:dyDescent="0.25">
      <c r="A68" s="57">
        <f t="shared" si="0"/>
        <v>10</v>
      </c>
      <c r="B68" s="57">
        <f t="shared" si="1"/>
        <v>2017</v>
      </c>
      <c r="C68" s="37" t="str">
        <f t="shared" si="2"/>
        <v>Income: 1</v>
      </c>
      <c r="D68" s="28">
        <v>43010</v>
      </c>
      <c r="E68" s="29" t="s">
        <v>51</v>
      </c>
      <c r="F68" s="36">
        <v>2995</v>
      </c>
      <c r="G68" s="36"/>
      <c r="H68" s="63">
        <f t="shared" si="3"/>
        <v>0</v>
      </c>
      <c r="I68" s="39"/>
      <c r="J68" s="30"/>
    </row>
    <row r="69" spans="1:11" ht="12.75" customHeight="1" x14ac:dyDescent="0.25">
      <c r="A69" s="57">
        <f t="shared" si="0"/>
        <v>11</v>
      </c>
      <c r="B69" s="57">
        <f t="shared" si="1"/>
        <v>2017</v>
      </c>
      <c r="C69" s="37" t="str">
        <f t="shared" si="2"/>
        <v>Rent: 1</v>
      </c>
      <c r="D69" s="40" t="str">
        <f>MOD(MONTH(D67), 12)+1 &amp; "/1/" &amp; IF(MONTH(D67)&gt;11, YEAR(D67)+1, YEAR(D67))</f>
        <v>11/1/2017</v>
      </c>
      <c r="E69" s="39" t="str">
        <f>"Rent: "&amp;LOOKUP(A69-1, Months, TextMonths)&amp;" '"&amp;B69</f>
        <v>Rent: Nov '2017</v>
      </c>
      <c r="F69" s="36"/>
      <c r="G69" s="36">
        <v>2995</v>
      </c>
      <c r="H69" s="63">
        <f t="shared" si="3"/>
        <v>2995</v>
      </c>
      <c r="I69" s="15"/>
      <c r="J69" s="15"/>
      <c r="K69" s="30"/>
    </row>
    <row r="70" spans="1:11" ht="12.75" customHeight="1" x14ac:dyDescent="0.25">
      <c r="A70" s="57">
        <f t="shared" si="0"/>
        <v>11</v>
      </c>
      <c r="B70" s="57">
        <f t="shared" si="1"/>
        <v>2017</v>
      </c>
      <c r="C70" s="37" t="str">
        <f t="shared" si="2"/>
        <v>Income: 1</v>
      </c>
      <c r="D70" s="28">
        <v>43040</v>
      </c>
      <c r="E70" s="29" t="s">
        <v>51</v>
      </c>
      <c r="F70" s="36">
        <v>2995</v>
      </c>
      <c r="G70" s="36"/>
      <c r="H70" s="63">
        <f t="shared" si="3"/>
        <v>0</v>
      </c>
    </row>
    <row r="71" spans="1:11" ht="12.75" customHeight="1" x14ac:dyDescent="0.25">
      <c r="A71" s="57">
        <f t="shared" si="0"/>
        <v>12</v>
      </c>
      <c r="B71" s="57">
        <f t="shared" si="1"/>
        <v>2017</v>
      </c>
      <c r="C71" s="37" t="str">
        <f t="shared" si="2"/>
        <v>Rent: 1</v>
      </c>
      <c r="D71" s="40" t="str">
        <f>MOD(MONTH(D69), 12)+1 &amp; "/1/" &amp; IF(MONTH(D69)&gt;11, YEAR(D69)+1, YEAR(D69))</f>
        <v>12/1/2017</v>
      </c>
      <c r="E71" s="39" t="str">
        <f>"Rent: "&amp;LOOKUP(A71-1, Months, TextMonths)&amp;" '"&amp;B71</f>
        <v>Rent: Dec '2017</v>
      </c>
      <c r="F71" s="36"/>
      <c r="G71" s="36">
        <v>3125</v>
      </c>
      <c r="H71" s="63">
        <f t="shared" si="3"/>
        <v>3125</v>
      </c>
      <c r="I71" s="30"/>
    </row>
    <row r="72" spans="1:11" ht="12.75" customHeight="1" x14ac:dyDescent="0.25">
      <c r="A72" s="64">
        <f t="shared" si="0"/>
        <v>12</v>
      </c>
      <c r="B72" s="64">
        <f t="shared" si="1"/>
        <v>2017</v>
      </c>
      <c r="C72" s="47" t="str">
        <f t="shared" si="2"/>
        <v>Income: 1</v>
      </c>
      <c r="D72" s="48">
        <v>43070</v>
      </c>
      <c r="E72" s="49" t="s">
        <v>51</v>
      </c>
      <c r="F72" s="50">
        <v>3125</v>
      </c>
      <c r="G72" s="50"/>
      <c r="H72" s="65">
        <f t="shared" si="3"/>
        <v>0</v>
      </c>
    </row>
    <row r="73" spans="1:11" ht="12.75" customHeight="1" x14ac:dyDescent="0.25">
      <c r="A73" s="57">
        <f t="shared" si="0"/>
        <v>1</v>
      </c>
      <c r="B73" s="57">
        <f t="shared" si="1"/>
        <v>2018</v>
      </c>
      <c r="C73" s="37" t="str">
        <f t="shared" si="2"/>
        <v>Rent: 1</v>
      </c>
      <c r="D73" s="40" t="str">
        <f>MOD(MONTH(D71), 12)+1 &amp; "/1/" &amp; IF(MONTH(D71)&gt;11, YEAR(D71)+1, YEAR(D71))</f>
        <v>1/1/2018</v>
      </c>
      <c r="E73" s="39" t="str">
        <f>"Rent: "&amp;LOOKUP(A73-1, Months, TextMonths)&amp;" '"&amp;B73</f>
        <v>Rent: Jan '2018</v>
      </c>
      <c r="F73" s="36"/>
      <c r="G73" s="36">
        <v>3125</v>
      </c>
      <c r="H73" s="58">
        <f t="shared" si="3"/>
        <v>3125</v>
      </c>
    </row>
    <row r="74" spans="1:11" ht="12.75" customHeight="1" x14ac:dyDescent="0.25">
      <c r="A74" s="57">
        <f t="shared" si="0"/>
        <v>12</v>
      </c>
      <c r="B74" s="57">
        <f t="shared" si="1"/>
        <v>2017</v>
      </c>
      <c r="C74" s="37" t="str">
        <f t="shared" si="2"/>
        <v>Income: 1</v>
      </c>
      <c r="D74" s="28">
        <v>43098</v>
      </c>
      <c r="E74" s="29" t="s">
        <v>51</v>
      </c>
      <c r="F74" s="36">
        <v>1160</v>
      </c>
      <c r="G74" s="36"/>
      <c r="H74" s="58">
        <f t="shared" si="3"/>
        <v>1965</v>
      </c>
    </row>
    <row r="75" spans="1:11" ht="12.75" customHeight="1" x14ac:dyDescent="0.25">
      <c r="A75" s="57">
        <f t="shared" si="0"/>
        <v>1</v>
      </c>
      <c r="B75" s="57">
        <f t="shared" si="1"/>
        <v>2018</v>
      </c>
      <c r="C75" s="37" t="str">
        <f t="shared" si="2"/>
        <v>Income: 1</v>
      </c>
      <c r="D75" s="28">
        <v>43102</v>
      </c>
      <c r="E75" s="29" t="s">
        <v>51</v>
      </c>
      <c r="F75" s="36">
        <v>1960</v>
      </c>
      <c r="G75" s="36"/>
      <c r="H75" s="58">
        <f t="shared" si="3"/>
        <v>5</v>
      </c>
      <c r="I75" s="36"/>
    </row>
    <row r="76" spans="1:11" ht="12.75" customHeight="1" x14ac:dyDescent="0.25">
      <c r="A76" s="57">
        <f t="shared" si="0"/>
        <v>2</v>
      </c>
      <c r="B76" s="57">
        <f t="shared" si="1"/>
        <v>2018</v>
      </c>
      <c r="C76" s="37" t="str">
        <f t="shared" si="2"/>
        <v>Rent: 1</v>
      </c>
      <c r="D76" s="40" t="str">
        <f>MOD(MONTH(D75), 12)+1 &amp; "/1/" &amp; IF(MONTH(D74)&gt;11, YEAR(D74)+1, YEAR(D74))</f>
        <v>2/1/2018</v>
      </c>
      <c r="E76" s="39" t="str">
        <f>"Rent: "&amp;LOOKUP(A76-1, Months, TextMonths)&amp;" '"&amp;B76</f>
        <v>Rent: Feb '2018</v>
      </c>
      <c r="F76" s="36"/>
      <c r="G76" s="36">
        <v>3125</v>
      </c>
      <c r="H76" s="63">
        <f t="shared" si="3"/>
        <v>3130</v>
      </c>
    </row>
    <row r="77" spans="1:11" ht="12.75" customHeight="1" x14ac:dyDescent="0.25">
      <c r="A77" s="57">
        <f t="shared" si="0"/>
        <v>1</v>
      </c>
      <c r="B77" s="57">
        <f t="shared" si="1"/>
        <v>2018</v>
      </c>
      <c r="C77" s="37" t="str">
        <f t="shared" si="2"/>
        <v>Income: 1</v>
      </c>
      <c r="D77" s="28">
        <v>43131</v>
      </c>
      <c r="E77" s="29" t="s">
        <v>51</v>
      </c>
      <c r="F77" s="36">
        <v>1005</v>
      </c>
      <c r="G77" s="36"/>
      <c r="H77" s="63">
        <f t="shared" si="3"/>
        <v>2125</v>
      </c>
    </row>
    <row r="78" spans="1:11" ht="12.75" customHeight="1" x14ac:dyDescent="0.25">
      <c r="A78" s="57">
        <f t="shared" si="0"/>
        <v>2</v>
      </c>
      <c r="B78" s="57">
        <f t="shared" si="1"/>
        <v>2018</v>
      </c>
      <c r="C78" s="37" t="str">
        <f t="shared" si="2"/>
        <v>Income: 1</v>
      </c>
      <c r="D78" s="28">
        <v>43132</v>
      </c>
      <c r="E78" s="29" t="s">
        <v>51</v>
      </c>
      <c r="F78" s="36">
        <v>1495</v>
      </c>
      <c r="G78" s="36"/>
      <c r="H78" s="63">
        <f t="shared" si="3"/>
        <v>630</v>
      </c>
    </row>
    <row r="79" spans="1:11" ht="12.75" customHeight="1" x14ac:dyDescent="0.25">
      <c r="A79" s="57">
        <f t="shared" si="0"/>
        <v>2</v>
      </c>
      <c r="B79" s="57">
        <f t="shared" si="1"/>
        <v>2018</v>
      </c>
      <c r="C79" s="37" t="str">
        <f t="shared" si="2"/>
        <v>Income: 1</v>
      </c>
      <c r="D79" s="28">
        <v>43133</v>
      </c>
      <c r="E79" s="29" t="s">
        <v>51</v>
      </c>
      <c r="F79" s="36">
        <v>255</v>
      </c>
      <c r="G79" s="36"/>
      <c r="H79" s="63">
        <f t="shared" si="3"/>
        <v>375</v>
      </c>
    </row>
    <row r="80" spans="1:11" ht="12.75" customHeight="1" x14ac:dyDescent="0.25">
      <c r="A80" s="57">
        <f t="shared" si="0"/>
        <v>2</v>
      </c>
      <c r="B80" s="57">
        <f t="shared" si="1"/>
        <v>2018</v>
      </c>
      <c r="C80" s="37" t="str">
        <f t="shared" si="2"/>
        <v>Income: 1</v>
      </c>
      <c r="D80" s="28">
        <v>43136</v>
      </c>
      <c r="E80" s="29" t="s">
        <v>51</v>
      </c>
      <c r="F80" s="36">
        <v>375</v>
      </c>
      <c r="G80" s="36"/>
      <c r="H80" s="63">
        <f t="shared" si="3"/>
        <v>0</v>
      </c>
    </row>
    <row r="81" spans="1:9" ht="12.75" customHeight="1" x14ac:dyDescent="0.25">
      <c r="A81" s="57">
        <f t="shared" si="0"/>
        <v>3</v>
      </c>
      <c r="B81" s="57">
        <f t="shared" si="1"/>
        <v>2018</v>
      </c>
      <c r="C81" s="37" t="str">
        <f t="shared" si="2"/>
        <v>Rent: 1</v>
      </c>
      <c r="D81" s="40" t="str">
        <f>MOD(MONTH(D80), 12)+1 &amp; "/1/" &amp; IF(MONTH(D79)&gt;11, YEAR(D79)+1, YEAR(D79))</f>
        <v>3/1/2018</v>
      </c>
      <c r="E81" s="39" t="str">
        <f>"Rent: "&amp;LOOKUP(A81-1, Months, TextMonths)&amp;" '"&amp;B81</f>
        <v>Rent: Mar '2018</v>
      </c>
      <c r="F81" s="36"/>
      <c r="G81" s="36">
        <v>3125</v>
      </c>
      <c r="H81" s="63">
        <f t="shared" si="3"/>
        <v>3125</v>
      </c>
    </row>
    <row r="82" spans="1:9" ht="12.75" customHeight="1" x14ac:dyDescent="0.25">
      <c r="A82" s="57">
        <f t="shared" si="0"/>
        <v>2</v>
      </c>
      <c r="B82" s="57">
        <f t="shared" si="1"/>
        <v>2018</v>
      </c>
      <c r="C82" s="37" t="str">
        <f t="shared" si="2"/>
        <v>Income: 1</v>
      </c>
      <c r="D82" s="28">
        <v>43158</v>
      </c>
      <c r="E82" s="29" t="s">
        <v>51</v>
      </c>
      <c r="F82" s="36">
        <v>1125</v>
      </c>
      <c r="G82" s="36"/>
      <c r="H82" s="63">
        <f t="shared" si="3"/>
        <v>2000</v>
      </c>
    </row>
    <row r="83" spans="1:9" ht="12.75" customHeight="1" x14ac:dyDescent="0.25">
      <c r="A83" s="57">
        <f t="shared" si="0"/>
        <v>2</v>
      </c>
      <c r="B83" s="57">
        <f t="shared" si="1"/>
        <v>2018</v>
      </c>
      <c r="C83" s="37" t="str">
        <f t="shared" si="2"/>
        <v>Income: 1</v>
      </c>
      <c r="D83" s="28">
        <v>43159</v>
      </c>
      <c r="E83" s="29" t="s">
        <v>51</v>
      </c>
      <c r="F83" s="36">
        <v>2000</v>
      </c>
      <c r="G83" s="36"/>
      <c r="H83" s="63">
        <f t="shared" si="3"/>
        <v>0</v>
      </c>
      <c r="I83" s="28"/>
    </row>
    <row r="84" spans="1:9" ht="12.75" customHeight="1" x14ac:dyDescent="0.25">
      <c r="A84" s="57">
        <f t="shared" si="0"/>
        <v>4</v>
      </c>
      <c r="B84" s="57">
        <f t="shared" si="1"/>
        <v>2018</v>
      </c>
      <c r="C84" s="37" t="str">
        <f t="shared" si="2"/>
        <v>Rent: 1</v>
      </c>
      <c r="D84" s="40" t="str">
        <f>MOD(MONTH(D81), 12)+1 &amp; "/1/" &amp; IF(MONTH(D82)&gt;11, YEAR(D82)+1, YEAR(D82))</f>
        <v>4/1/2018</v>
      </c>
      <c r="E84" s="39" t="str">
        <f>"Rent: "&amp;LOOKUP(A84-1, Months, TextMonths)&amp;" '"&amp;B84</f>
        <v>Rent: Apr '2018</v>
      </c>
      <c r="F84" s="36"/>
      <c r="G84" s="36">
        <v>3125</v>
      </c>
      <c r="H84" s="63">
        <f t="shared" si="3"/>
        <v>3125</v>
      </c>
    </row>
    <row r="85" spans="1:9" ht="12.75" customHeight="1" x14ac:dyDescent="0.25">
      <c r="A85" s="57">
        <f t="shared" si="0"/>
        <v>3</v>
      </c>
      <c r="B85" s="57">
        <f t="shared" si="1"/>
        <v>2018</v>
      </c>
      <c r="C85" s="37" t="str">
        <f t="shared" si="2"/>
        <v>Income: 1</v>
      </c>
      <c r="D85" s="28">
        <v>43188</v>
      </c>
      <c r="E85" s="29" t="s">
        <v>51</v>
      </c>
      <c r="F85" s="36">
        <v>1100</v>
      </c>
      <c r="G85" s="36"/>
      <c r="H85" s="63">
        <f t="shared" si="3"/>
        <v>2025</v>
      </c>
    </row>
    <row r="86" spans="1:9" ht="12.75" customHeight="1" x14ac:dyDescent="0.25">
      <c r="A86" s="57">
        <f t="shared" si="0"/>
        <v>3</v>
      </c>
      <c r="B86" s="57">
        <f t="shared" si="1"/>
        <v>2018</v>
      </c>
      <c r="C86" s="37" t="str">
        <f t="shared" si="2"/>
        <v>Income: 1</v>
      </c>
      <c r="D86" s="28">
        <v>43189</v>
      </c>
      <c r="E86" s="29" t="s">
        <v>51</v>
      </c>
      <c r="F86" s="36">
        <v>1936</v>
      </c>
      <c r="G86" s="36"/>
      <c r="H86" s="63">
        <f t="shared" si="3"/>
        <v>89</v>
      </c>
    </row>
    <row r="87" spans="1:9" ht="12" customHeight="1" x14ac:dyDescent="0.25">
      <c r="A87" s="57">
        <f t="shared" si="0"/>
        <v>3</v>
      </c>
      <c r="B87" s="57">
        <f t="shared" si="1"/>
        <v>2018</v>
      </c>
      <c r="C87" s="37" t="str">
        <f t="shared" si="2"/>
        <v/>
      </c>
      <c r="D87" s="28">
        <v>43174</v>
      </c>
      <c r="E87" s="29" t="s">
        <v>61</v>
      </c>
      <c r="F87" s="36">
        <v>89</v>
      </c>
      <c r="G87" s="36"/>
      <c r="H87" s="63">
        <f t="shared" si="3"/>
        <v>0</v>
      </c>
      <c r="I87" s="36"/>
    </row>
    <row r="88" spans="1:9" ht="12.75" customHeight="1" x14ac:dyDescent="0.25">
      <c r="A88" s="57">
        <f t="shared" si="0"/>
        <v>5</v>
      </c>
      <c r="B88" s="57">
        <f t="shared" si="1"/>
        <v>2018</v>
      </c>
      <c r="C88" s="37" t="str">
        <f t="shared" si="2"/>
        <v>Rent: 1</v>
      </c>
      <c r="D88" s="40" t="str">
        <f>MOD(MAX(A81:A87),12)+1&amp;"/1/"&amp;IF(MONTH(D86)&gt;11,YEAR(D86)+1,YEAR(D86))</f>
        <v>5/1/2018</v>
      </c>
      <c r="E88" s="39" t="str">
        <f>"Rent: "&amp;LOOKUP(A88-1, Months, TextMonths)&amp;" '"&amp;B88</f>
        <v>Rent: May '2018</v>
      </c>
      <c r="F88" s="36"/>
      <c r="G88" s="36">
        <v>3125</v>
      </c>
      <c r="H88" s="63">
        <f t="shared" si="3"/>
        <v>3125</v>
      </c>
    </row>
    <row r="89" spans="1:9" ht="12.75" customHeight="1" x14ac:dyDescent="0.25">
      <c r="A89" s="57">
        <f t="shared" si="0"/>
        <v>4</v>
      </c>
      <c r="B89" s="57">
        <f t="shared" si="1"/>
        <v>2018</v>
      </c>
      <c r="C89" s="37" t="str">
        <f t="shared" si="2"/>
        <v>Income: 1</v>
      </c>
      <c r="D89" s="28">
        <v>43220</v>
      </c>
      <c r="E89" s="29" t="s">
        <v>51</v>
      </c>
      <c r="F89" s="36">
        <v>1000</v>
      </c>
      <c r="G89" s="36"/>
      <c r="H89" s="63">
        <f t="shared" si="3"/>
        <v>2125</v>
      </c>
    </row>
    <row r="90" spans="1:9" ht="12.75" customHeight="1" x14ac:dyDescent="0.25">
      <c r="A90" s="57">
        <f t="shared" si="0"/>
        <v>4</v>
      </c>
      <c r="B90" s="57">
        <f t="shared" si="1"/>
        <v>2018</v>
      </c>
      <c r="C90" s="37" t="str">
        <f t="shared" si="2"/>
        <v>Income: 1</v>
      </c>
      <c r="D90" s="28">
        <v>43220</v>
      </c>
      <c r="E90" s="29" t="s">
        <v>51</v>
      </c>
      <c r="F90" s="36">
        <v>625</v>
      </c>
      <c r="G90" s="36"/>
      <c r="H90" s="63">
        <f t="shared" si="3"/>
        <v>1500</v>
      </c>
    </row>
    <row r="91" spans="1:9" ht="12.75" customHeight="1" x14ac:dyDescent="0.25">
      <c r="A91" s="57">
        <f t="shared" si="0"/>
        <v>5</v>
      </c>
      <c r="B91" s="57">
        <f t="shared" si="1"/>
        <v>2018</v>
      </c>
      <c r="C91" s="37" t="str">
        <f t="shared" si="2"/>
        <v>Income: 1</v>
      </c>
      <c r="D91" s="28">
        <v>43221</v>
      </c>
      <c r="E91" s="29" t="s">
        <v>51</v>
      </c>
      <c r="F91" s="36">
        <v>1500</v>
      </c>
      <c r="G91" s="36"/>
      <c r="H91" s="63">
        <f t="shared" si="3"/>
        <v>0</v>
      </c>
    </row>
    <row r="92" spans="1:9" ht="12.75" customHeight="1" x14ac:dyDescent="0.25">
      <c r="A92" s="57">
        <f t="shared" si="0"/>
        <v>6</v>
      </c>
      <c r="B92" s="57">
        <f t="shared" si="1"/>
        <v>2018</v>
      </c>
      <c r="C92" s="37" t="str">
        <f t="shared" si="2"/>
        <v>Rent: 1</v>
      </c>
      <c r="D92" s="40" t="str">
        <f>MOD(MAX(A85:A91),12)+1&amp;"/1/"&amp;IF(MONTH(D90)&gt;11,YEAR(D90)+1,YEAR(D90))</f>
        <v>6/1/2018</v>
      </c>
      <c r="E92" s="39" t="str">
        <f>"Rent: "&amp;LOOKUP(A92-1, Months, TextMonths)&amp;" '"&amp;B92</f>
        <v>Rent: Jun '2018</v>
      </c>
      <c r="F92" s="36"/>
      <c r="G92" s="36">
        <v>3125</v>
      </c>
      <c r="H92" s="63">
        <f t="shared" si="3"/>
        <v>3125</v>
      </c>
    </row>
    <row r="93" spans="1:9" ht="12.75" customHeight="1" x14ac:dyDescent="0.25">
      <c r="A93" s="57">
        <f t="shared" si="0"/>
        <v>5</v>
      </c>
      <c r="B93" s="57">
        <f t="shared" si="1"/>
        <v>2018</v>
      </c>
      <c r="C93" s="37" t="str">
        <f t="shared" si="2"/>
        <v>Income: 1</v>
      </c>
      <c r="D93" s="28">
        <v>43250</v>
      </c>
      <c r="E93" s="29" t="s">
        <v>51</v>
      </c>
      <c r="F93" s="36">
        <v>1000</v>
      </c>
      <c r="G93" s="36"/>
      <c r="H93" s="63">
        <f t="shared" si="3"/>
        <v>2125</v>
      </c>
    </row>
    <row r="94" spans="1:9" ht="12.75" customHeight="1" x14ac:dyDescent="0.25">
      <c r="A94" s="57">
        <f t="shared" si="0"/>
        <v>5</v>
      </c>
      <c r="B94" s="57">
        <f t="shared" si="1"/>
        <v>2018</v>
      </c>
      <c r="C94" s="37" t="str">
        <f t="shared" si="2"/>
        <v>Income: 1</v>
      </c>
      <c r="D94" s="28">
        <v>43251</v>
      </c>
      <c r="E94" s="29" t="s">
        <v>51</v>
      </c>
      <c r="F94" s="36">
        <v>2000</v>
      </c>
      <c r="G94" s="36"/>
      <c r="H94" s="63">
        <f t="shared" si="3"/>
        <v>125</v>
      </c>
    </row>
    <row r="95" spans="1:9" ht="12.75" customHeight="1" x14ac:dyDescent="0.25">
      <c r="A95" s="57">
        <f t="shared" si="0"/>
        <v>6</v>
      </c>
      <c r="B95" s="57">
        <f t="shared" si="1"/>
        <v>2018</v>
      </c>
      <c r="C95" s="37" t="str">
        <f t="shared" si="2"/>
        <v>Income: 1</v>
      </c>
      <c r="D95" s="28">
        <v>43252</v>
      </c>
      <c r="E95" s="29" t="s">
        <v>51</v>
      </c>
      <c r="F95" s="36">
        <v>125</v>
      </c>
      <c r="G95" s="36"/>
      <c r="H95" s="63">
        <f t="shared" si="3"/>
        <v>0</v>
      </c>
    </row>
    <row r="96" spans="1:9" ht="12.75" customHeight="1" x14ac:dyDescent="0.25">
      <c r="A96" s="57">
        <f t="shared" si="0"/>
        <v>7</v>
      </c>
      <c r="B96" s="57">
        <f t="shared" si="1"/>
        <v>2018</v>
      </c>
      <c r="C96" s="37" t="str">
        <f t="shared" si="2"/>
        <v>Rent: 1</v>
      </c>
      <c r="D96" s="40" t="str">
        <f>MOD(MAX(A89:A95),12)+1&amp;"/1/"&amp;IF(MONTH(D94)&gt;11,YEAR(D94)+1,YEAR(D94))</f>
        <v>7/1/2018</v>
      </c>
      <c r="E96" s="39" t="str">
        <f>"Rent: "&amp;LOOKUP(A96-1, Months, TextMonths)&amp;" '"&amp;B96</f>
        <v>Rent: Jul '2018</v>
      </c>
      <c r="F96" s="36"/>
      <c r="G96" s="36">
        <v>3125</v>
      </c>
      <c r="H96" s="63">
        <f t="shared" si="3"/>
        <v>3125</v>
      </c>
    </row>
    <row r="97" spans="1:11" ht="12.75" customHeight="1" x14ac:dyDescent="0.25">
      <c r="A97" s="57">
        <f t="shared" si="0"/>
        <v>7</v>
      </c>
      <c r="B97" s="57">
        <f t="shared" si="1"/>
        <v>2018</v>
      </c>
      <c r="C97" s="37" t="str">
        <f t="shared" si="2"/>
        <v>Income: 1</v>
      </c>
      <c r="D97" s="28">
        <v>43283</v>
      </c>
      <c r="E97" s="29" t="s">
        <v>51</v>
      </c>
      <c r="F97" s="36">
        <v>1562.5</v>
      </c>
      <c r="G97" s="36"/>
      <c r="H97" s="63">
        <f t="shared" si="3"/>
        <v>1562.5</v>
      </c>
    </row>
    <row r="98" spans="1:11" ht="12.75" customHeight="1" x14ac:dyDescent="0.25">
      <c r="A98" s="57">
        <f t="shared" si="0"/>
        <v>7</v>
      </c>
      <c r="B98" s="57">
        <f t="shared" si="1"/>
        <v>2018</v>
      </c>
      <c r="C98" s="37" t="str">
        <f t="shared" si="2"/>
        <v>Income: 1</v>
      </c>
      <c r="D98" s="28">
        <v>43283</v>
      </c>
      <c r="E98" s="29" t="s">
        <v>51</v>
      </c>
      <c r="F98" s="36">
        <v>1562.5</v>
      </c>
      <c r="G98" s="36"/>
      <c r="H98" s="63">
        <f t="shared" si="3"/>
        <v>0</v>
      </c>
    </row>
    <row r="99" spans="1:11" ht="12.75" customHeight="1" x14ac:dyDescent="0.25">
      <c r="A99" s="57">
        <f t="shared" si="0"/>
        <v>8</v>
      </c>
      <c r="B99" s="57">
        <f t="shared" si="1"/>
        <v>2018</v>
      </c>
      <c r="C99" s="37" t="str">
        <f t="shared" si="2"/>
        <v>Rent: 1</v>
      </c>
      <c r="D99" s="40" t="str">
        <f>MOD(MAX(A92:A98),12)+1&amp;"/1/"&amp;IF(MONTH(D97)&gt;11,YEAR(D97)+1,YEAR(D97))</f>
        <v>8/1/2018</v>
      </c>
      <c r="E99" s="39" t="str">
        <f>"Rent: "&amp;LOOKUP(A99-1, Months, TextMonths)&amp;" '"&amp;B99</f>
        <v>Rent: Aug '2018</v>
      </c>
      <c r="F99" s="36"/>
      <c r="G99" s="36">
        <v>3125</v>
      </c>
      <c r="H99" s="63">
        <f t="shared" si="3"/>
        <v>3125</v>
      </c>
    </row>
    <row r="100" spans="1:11" ht="12.75" customHeight="1" x14ac:dyDescent="0.25">
      <c r="A100" s="57">
        <f t="shared" si="0"/>
        <v>7</v>
      </c>
      <c r="B100" s="57">
        <f t="shared" si="1"/>
        <v>2018</v>
      </c>
      <c r="C100" s="37" t="str">
        <f t="shared" si="2"/>
        <v>Income: 1</v>
      </c>
      <c r="D100" s="28">
        <v>43311</v>
      </c>
      <c r="E100" s="29" t="s">
        <v>51</v>
      </c>
      <c r="F100" s="36">
        <v>1320</v>
      </c>
      <c r="G100" s="36"/>
      <c r="H100" s="63">
        <f t="shared" si="3"/>
        <v>1805</v>
      </c>
    </row>
    <row r="101" spans="1:11" ht="12.75" customHeight="1" x14ac:dyDescent="0.25">
      <c r="A101" s="57">
        <f t="shared" si="0"/>
        <v>7</v>
      </c>
      <c r="B101" s="57">
        <f t="shared" si="1"/>
        <v>2018</v>
      </c>
      <c r="C101" s="37" t="str">
        <f t="shared" si="2"/>
        <v>Income: 1</v>
      </c>
      <c r="D101" s="28">
        <v>43312</v>
      </c>
      <c r="E101" s="29" t="s">
        <v>51</v>
      </c>
      <c r="F101" s="36">
        <v>1805</v>
      </c>
      <c r="G101" s="36"/>
      <c r="H101" s="63">
        <f t="shared" si="3"/>
        <v>0</v>
      </c>
    </row>
    <row r="102" spans="1:11" ht="12.75" customHeight="1" x14ac:dyDescent="0.25">
      <c r="A102" s="57">
        <f t="shared" si="0"/>
        <v>9</v>
      </c>
      <c r="B102" s="57">
        <f t="shared" si="1"/>
        <v>2018</v>
      </c>
      <c r="C102" s="37" t="str">
        <f t="shared" si="2"/>
        <v>Rent: 1</v>
      </c>
      <c r="D102" s="40" t="str">
        <f>MOD(MAX(A95:A101),12)+1&amp;"/1/"&amp;IF(MONTH(D100)&gt;11,YEAR(D100)+1,YEAR(D100))</f>
        <v>9/1/2018</v>
      </c>
      <c r="E102" s="39" t="str">
        <f>"Rent: "&amp;LOOKUP(A102-1, Months, TextMonths)&amp;" '"&amp;B102</f>
        <v>Rent: Sep '2018</v>
      </c>
      <c r="F102" s="36"/>
      <c r="G102" s="36">
        <v>3125</v>
      </c>
      <c r="H102" s="63">
        <f t="shared" si="3"/>
        <v>3125</v>
      </c>
    </row>
    <row r="103" spans="1:11" ht="12.75" customHeight="1" x14ac:dyDescent="0.25">
      <c r="A103" s="57">
        <f t="shared" si="0"/>
        <v>8</v>
      </c>
      <c r="B103" s="57">
        <f t="shared" si="1"/>
        <v>2018</v>
      </c>
      <c r="C103" s="37" t="str">
        <f t="shared" si="2"/>
        <v>Income: 1</v>
      </c>
      <c r="D103" s="28">
        <v>43343</v>
      </c>
      <c r="E103" s="29" t="s">
        <v>51</v>
      </c>
      <c r="F103" s="36">
        <v>2500</v>
      </c>
      <c r="G103" s="36"/>
      <c r="H103" s="63">
        <f t="shared" si="3"/>
        <v>625</v>
      </c>
    </row>
    <row r="104" spans="1:11" ht="12.75" customHeight="1" x14ac:dyDescent="0.25">
      <c r="A104" s="57">
        <f t="shared" si="0"/>
        <v>8</v>
      </c>
      <c r="B104" s="57">
        <f t="shared" si="1"/>
        <v>2018</v>
      </c>
      <c r="C104" s="37" t="str">
        <f t="shared" si="2"/>
        <v>Income: 1</v>
      </c>
      <c r="D104" s="28">
        <v>43343</v>
      </c>
      <c r="E104" s="29" t="s">
        <v>51</v>
      </c>
      <c r="F104" s="36">
        <v>625</v>
      </c>
      <c r="G104" s="36"/>
      <c r="H104" s="63">
        <f t="shared" si="3"/>
        <v>0</v>
      </c>
    </row>
    <row r="105" spans="1:11" ht="12.75" customHeight="1" x14ac:dyDescent="0.25">
      <c r="A105" s="57">
        <f t="shared" si="0"/>
        <v>10</v>
      </c>
      <c r="B105" s="57">
        <f t="shared" si="1"/>
        <v>2018</v>
      </c>
      <c r="C105" s="37" t="str">
        <f t="shared" si="2"/>
        <v>Rent: 1</v>
      </c>
      <c r="D105" s="40" t="str">
        <f>MOD(MAX(A98:A104),12)+1&amp;"/1/"&amp;IF(MONTH(D103)&gt;11,YEAR(D103)+1,YEAR(D103))</f>
        <v>10/1/2018</v>
      </c>
      <c r="E105" s="39" t="str">
        <f>"Rent: "&amp;LOOKUP(A105-1, Months, TextMonths)&amp;" '"&amp;B105</f>
        <v>Rent: Oct '2018</v>
      </c>
      <c r="F105" s="36"/>
      <c r="G105" s="36">
        <v>3125</v>
      </c>
      <c r="H105" s="63">
        <f t="shared" si="3"/>
        <v>3125</v>
      </c>
    </row>
    <row r="106" spans="1:11" ht="12.75" customHeight="1" x14ac:dyDescent="0.25">
      <c r="A106" s="57">
        <f t="shared" si="0"/>
        <v>10</v>
      </c>
      <c r="B106" s="57">
        <f t="shared" si="1"/>
        <v>2018</v>
      </c>
      <c r="C106" s="37" t="str">
        <f t="shared" si="2"/>
        <v>Income: 1</v>
      </c>
      <c r="D106" s="28">
        <v>43374</v>
      </c>
      <c r="E106" s="29" t="s">
        <v>51</v>
      </c>
      <c r="F106" s="36">
        <v>2000</v>
      </c>
      <c r="G106" s="36"/>
      <c r="H106" s="63">
        <f t="shared" si="3"/>
        <v>1125</v>
      </c>
      <c r="I106" s="36"/>
    </row>
    <row r="107" spans="1:11" ht="12.75" customHeight="1" x14ac:dyDescent="0.25">
      <c r="A107" s="57">
        <f t="shared" si="0"/>
        <v>10</v>
      </c>
      <c r="B107" s="57">
        <f t="shared" si="1"/>
        <v>2018</v>
      </c>
      <c r="C107" s="37" t="str">
        <f t="shared" si="2"/>
        <v>Income: 1</v>
      </c>
      <c r="D107" s="28">
        <v>43374</v>
      </c>
      <c r="E107" s="29" t="s">
        <v>51</v>
      </c>
      <c r="F107" s="36">
        <v>1125</v>
      </c>
      <c r="G107" s="36"/>
      <c r="H107" s="63">
        <f t="shared" si="3"/>
        <v>0</v>
      </c>
    </row>
    <row r="108" spans="1:11" ht="12.75" customHeight="1" x14ac:dyDescent="0.25">
      <c r="A108" s="57">
        <f t="shared" si="0"/>
        <v>11</v>
      </c>
      <c r="B108" s="57">
        <f t="shared" si="1"/>
        <v>2018</v>
      </c>
      <c r="C108" s="37" t="str">
        <f t="shared" si="2"/>
        <v>Rent: 1</v>
      </c>
      <c r="D108" s="40" t="str">
        <f>MOD(MAX(A101:A107),12)+1&amp;"/1/"&amp;IF(MONTH(D106)&gt;11,YEAR(D106)+1,YEAR(D106))</f>
        <v>11/1/2018</v>
      </c>
      <c r="E108" s="39" t="str">
        <f>"Rent: "&amp;LOOKUP(A108-1, Months, TextMonths)&amp;" '"&amp;B108</f>
        <v>Rent: Nov '2018</v>
      </c>
      <c r="F108" s="36"/>
      <c r="G108" s="36">
        <v>3125</v>
      </c>
      <c r="H108" s="63">
        <f t="shared" si="3"/>
        <v>3125</v>
      </c>
    </row>
    <row r="109" spans="1:11" ht="12.75" customHeight="1" x14ac:dyDescent="0.25">
      <c r="A109" s="57">
        <f t="shared" si="0"/>
        <v>10</v>
      </c>
      <c r="B109" s="57">
        <f t="shared" si="1"/>
        <v>2018</v>
      </c>
      <c r="C109" s="37" t="str">
        <f t="shared" si="2"/>
        <v>Income: 1</v>
      </c>
      <c r="D109" s="28">
        <v>43404</v>
      </c>
      <c r="E109" s="29" t="s">
        <v>51</v>
      </c>
      <c r="F109" s="36">
        <v>1562.5</v>
      </c>
      <c r="G109" s="36"/>
      <c r="H109" s="63">
        <f t="shared" si="3"/>
        <v>1562.5</v>
      </c>
    </row>
    <row r="110" spans="1:11" ht="12.75" customHeight="1" x14ac:dyDescent="0.25">
      <c r="A110" s="57">
        <f t="shared" si="0"/>
        <v>11</v>
      </c>
      <c r="B110" s="57">
        <f t="shared" si="1"/>
        <v>2018</v>
      </c>
      <c r="C110" s="37" t="str">
        <f t="shared" si="2"/>
        <v>Income: 1</v>
      </c>
      <c r="D110" s="28">
        <v>43405</v>
      </c>
      <c r="E110" s="29" t="s">
        <v>51</v>
      </c>
      <c r="F110" s="36">
        <v>1562.5</v>
      </c>
      <c r="G110" s="36"/>
      <c r="H110" s="63">
        <f t="shared" si="3"/>
        <v>0</v>
      </c>
      <c r="I110" s="39"/>
      <c r="J110" s="30"/>
    </row>
    <row r="111" spans="1:11" ht="12.75" customHeight="1" x14ac:dyDescent="0.25">
      <c r="A111" s="57">
        <f t="shared" si="0"/>
        <v>12</v>
      </c>
      <c r="B111" s="57">
        <f t="shared" si="1"/>
        <v>2018</v>
      </c>
      <c r="C111" s="37" t="str">
        <f t="shared" si="2"/>
        <v>Rent: 1</v>
      </c>
      <c r="D111" s="40" t="str">
        <f>MOD(MAX(A104:A110),12)+1&amp;"/1/"&amp;IF(MONTH(D109)&gt;11,YEAR(D109)+1,YEAR(D109))</f>
        <v>12/1/2018</v>
      </c>
      <c r="E111" s="39" t="str">
        <f>"Rent: "&amp;LOOKUP(A111-1, Months, TextMonths)&amp;" '"&amp;B111</f>
        <v>Rent: Dec '2018</v>
      </c>
      <c r="F111" s="36"/>
      <c r="G111" s="36">
        <v>3125</v>
      </c>
      <c r="H111" s="63">
        <f t="shared" si="3"/>
        <v>3125</v>
      </c>
      <c r="I111" s="15"/>
      <c r="J111" s="15"/>
      <c r="K111" s="30"/>
    </row>
    <row r="112" spans="1:11" ht="12.75" customHeight="1" x14ac:dyDescent="0.25">
      <c r="A112" s="57">
        <f t="shared" si="0"/>
        <v>11</v>
      </c>
      <c r="B112" s="57">
        <f t="shared" si="1"/>
        <v>2018</v>
      </c>
      <c r="C112" s="37" t="str">
        <f t="shared" si="2"/>
        <v>Income: 1</v>
      </c>
      <c r="D112" s="28">
        <v>43434</v>
      </c>
      <c r="E112" s="29" t="s">
        <v>51</v>
      </c>
      <c r="F112" s="36">
        <v>1000</v>
      </c>
      <c r="G112" s="36"/>
      <c r="H112" s="63">
        <f t="shared" si="3"/>
        <v>2125</v>
      </c>
    </row>
    <row r="113" spans="1:11" ht="12.75" customHeight="1" x14ac:dyDescent="0.25">
      <c r="A113" s="57">
        <f t="shared" si="0"/>
        <v>12</v>
      </c>
      <c r="B113" s="57">
        <f t="shared" si="1"/>
        <v>2018</v>
      </c>
      <c r="C113" s="37" t="str">
        <f t="shared" si="2"/>
        <v>Income: 1</v>
      </c>
      <c r="D113" s="28">
        <v>43437</v>
      </c>
      <c r="E113" s="29" t="s">
        <v>51</v>
      </c>
      <c r="F113" s="36">
        <v>2125</v>
      </c>
      <c r="G113" s="36"/>
      <c r="H113" s="63">
        <f t="shared" si="3"/>
        <v>0</v>
      </c>
    </row>
    <row r="114" spans="1:11" ht="12.75" customHeight="1" x14ac:dyDescent="0.25">
      <c r="A114" s="57">
        <f t="shared" si="0"/>
        <v>1</v>
      </c>
      <c r="B114" s="57">
        <f t="shared" si="1"/>
        <v>2018</v>
      </c>
      <c r="C114" s="37" t="str">
        <f t="shared" si="2"/>
        <v>Rent: 1</v>
      </c>
      <c r="D114" s="40" t="str">
        <f>MOD(MAX(A107:A113),12)+1&amp;"/1/"&amp;IF(MONTH(D112)&gt;11,YEAR(D112)+1,YEAR(D112))</f>
        <v>1/1/2018</v>
      </c>
      <c r="E114" s="39" t="str">
        <f>"Rent: "&amp;LOOKUP(A114-1, Months, TextMonths)&amp;" '"&amp;B114</f>
        <v>Rent: Jan '2018</v>
      </c>
      <c r="F114" s="36"/>
      <c r="G114" s="36">
        <v>3125</v>
      </c>
      <c r="H114" s="63">
        <f t="shared" si="3"/>
        <v>3125</v>
      </c>
    </row>
    <row r="115" spans="1:11" ht="12.75" customHeight="1" x14ac:dyDescent="0.25">
      <c r="A115" s="57">
        <f t="shared" si="0"/>
        <v>12</v>
      </c>
      <c r="B115" s="57">
        <f t="shared" si="1"/>
        <v>2018</v>
      </c>
      <c r="C115" s="37" t="str">
        <f t="shared" si="2"/>
        <v>Income: 1</v>
      </c>
      <c r="D115" s="28">
        <v>43465</v>
      </c>
      <c r="E115" s="29" t="s">
        <v>51</v>
      </c>
      <c r="F115" s="36">
        <v>1562.5</v>
      </c>
      <c r="G115" s="36"/>
      <c r="H115" s="63">
        <f t="shared" si="3"/>
        <v>1562.5</v>
      </c>
    </row>
    <row r="116" spans="1:11" ht="12.75" customHeight="1" x14ac:dyDescent="0.25">
      <c r="A116" s="57">
        <f t="shared" si="0"/>
        <v>12</v>
      </c>
      <c r="B116" s="57">
        <f t="shared" si="1"/>
        <v>2018</v>
      </c>
      <c r="C116" s="37" t="str">
        <f t="shared" si="2"/>
        <v>Income: 1</v>
      </c>
      <c r="D116" s="28">
        <v>43465</v>
      </c>
      <c r="E116" s="29" t="s">
        <v>51</v>
      </c>
      <c r="F116" s="36">
        <v>1562.5</v>
      </c>
      <c r="G116" s="36"/>
      <c r="H116" s="63">
        <f t="shared" si="3"/>
        <v>0</v>
      </c>
    </row>
    <row r="117" spans="1:11" ht="12.75" customHeight="1" x14ac:dyDescent="0.25">
      <c r="A117" s="57">
        <f t="shared" si="0"/>
        <v>2</v>
      </c>
      <c r="B117" s="57">
        <f t="shared" si="1"/>
        <v>2019</v>
      </c>
      <c r="C117" s="37" t="str">
        <f t="shared" si="2"/>
        <v>Rent: 1</v>
      </c>
      <c r="D117" s="40" t="str">
        <f>MOD(MAX(A110:A116),12)+2&amp;"/1/"&amp;IF(MONTH(D115)&gt;11,YEAR(D115)+1,YEAR(D115))</f>
        <v>2/1/2019</v>
      </c>
      <c r="E117" s="39" t="str">
        <f>"Rent: "&amp;LOOKUP(A117-1, Months, TextMonths)&amp;" '"&amp;B117</f>
        <v>Rent: Feb '2019</v>
      </c>
      <c r="F117" s="36"/>
      <c r="G117" s="36">
        <v>3125</v>
      </c>
      <c r="H117" s="63">
        <f t="shared" si="3"/>
        <v>3125</v>
      </c>
    </row>
    <row r="118" spans="1:11" ht="12.75" customHeight="1" x14ac:dyDescent="0.3">
      <c r="A118" s="57">
        <f t="shared" si="0"/>
        <v>1</v>
      </c>
      <c r="B118" s="57">
        <f t="shared" si="1"/>
        <v>2009</v>
      </c>
      <c r="C118" s="37" t="str">
        <f t="shared" si="2"/>
        <v>Income: 1</v>
      </c>
      <c r="D118" s="28">
        <v>39844</v>
      </c>
      <c r="E118" s="29" t="s">
        <v>51</v>
      </c>
      <c r="F118" s="36">
        <v>1125</v>
      </c>
      <c r="G118" s="36"/>
      <c r="H118" s="63">
        <f t="shared" si="3"/>
        <v>2000</v>
      </c>
      <c r="I118" s="51"/>
    </row>
    <row r="119" spans="1:11" ht="12.75" customHeight="1" x14ac:dyDescent="0.25">
      <c r="A119" s="57">
        <f t="shared" si="0"/>
        <v>2</v>
      </c>
      <c r="B119" s="57">
        <f t="shared" si="1"/>
        <v>2019</v>
      </c>
      <c r="C119" s="37" t="str">
        <f t="shared" si="2"/>
        <v>Income: 1</v>
      </c>
      <c r="D119" s="28">
        <v>43497</v>
      </c>
      <c r="E119" s="29" t="s">
        <v>51</v>
      </c>
      <c r="F119" s="36">
        <v>2000</v>
      </c>
      <c r="G119" s="36"/>
      <c r="H119" s="63">
        <f t="shared" si="3"/>
        <v>0</v>
      </c>
      <c r="I119" s="30"/>
      <c r="J119" s="30"/>
      <c r="K119" s="28"/>
    </row>
    <row r="120" spans="1:11" ht="12.75" customHeight="1" x14ac:dyDescent="0.25">
      <c r="A120" s="57">
        <f t="shared" si="0"/>
        <v>3</v>
      </c>
      <c r="B120" s="57">
        <f t="shared" si="1"/>
        <v>2009</v>
      </c>
      <c r="C120" s="37" t="str">
        <f t="shared" si="2"/>
        <v>Rent: 1</v>
      </c>
      <c r="D120" s="40" t="str">
        <f>MOD(MONTH(D119), 12)+1 &amp; "/1/" &amp; IF(MONTH(D118)&gt;11, YEAR(D118)+1, YEAR(D118))</f>
        <v>3/1/2009</v>
      </c>
      <c r="E120" s="39" t="str">
        <f>"Rent: "&amp;LOOKUP(A120-1, Months, TextMonths)&amp;" '"&amp;B120</f>
        <v>Rent: Mar '2009</v>
      </c>
      <c r="F120" s="36"/>
      <c r="G120" s="36">
        <v>3125</v>
      </c>
      <c r="H120" s="63">
        <f t="shared" si="3"/>
        <v>3125</v>
      </c>
      <c r="I120" s="30"/>
      <c r="J120" s="30"/>
    </row>
    <row r="121" spans="1:11" ht="12.75" customHeight="1" x14ac:dyDescent="0.25">
      <c r="A121" s="57">
        <f t="shared" si="0"/>
        <v>2</v>
      </c>
      <c r="B121" s="57">
        <f t="shared" si="1"/>
        <v>2019</v>
      </c>
      <c r="C121" s="37" t="str">
        <f t="shared" si="2"/>
        <v>Income: 1</v>
      </c>
      <c r="D121" s="28">
        <v>43524</v>
      </c>
      <c r="E121" s="29" t="s">
        <v>51</v>
      </c>
      <c r="F121" s="36">
        <v>1562.5</v>
      </c>
      <c r="G121" s="36"/>
      <c r="H121" s="63">
        <f t="shared" si="3"/>
        <v>1562.5</v>
      </c>
      <c r="I121" s="29"/>
      <c r="J121" s="30"/>
      <c r="K121" s="30"/>
    </row>
    <row r="122" spans="1:11" ht="12.75" customHeight="1" x14ac:dyDescent="0.25">
      <c r="A122" s="57">
        <f t="shared" si="0"/>
        <v>3</v>
      </c>
      <c r="B122" s="57">
        <f t="shared" si="1"/>
        <v>2019</v>
      </c>
      <c r="C122" s="37" t="str">
        <f t="shared" si="2"/>
        <v>Income: 1</v>
      </c>
      <c r="D122" s="28">
        <v>43525</v>
      </c>
      <c r="E122" s="29" t="s">
        <v>51</v>
      </c>
      <c r="F122" s="36">
        <v>1562.5</v>
      </c>
      <c r="G122" s="36"/>
      <c r="H122" s="63">
        <f t="shared" si="3"/>
        <v>0</v>
      </c>
    </row>
    <row r="123" spans="1:11" ht="12.75" customHeight="1" x14ac:dyDescent="0.25">
      <c r="A123" s="57">
        <f t="shared" si="0"/>
        <v>4</v>
      </c>
      <c r="B123" s="57">
        <f t="shared" si="1"/>
        <v>2019</v>
      </c>
      <c r="C123" s="37" t="str">
        <f t="shared" si="2"/>
        <v>Rent: 1</v>
      </c>
      <c r="D123" s="40" t="str">
        <f>MOD(MONTH(D122), 12)+1 &amp; "/1/" &amp; IF(MONTH(D121)&gt;11, YEAR(D121)+1, YEAR(D121))</f>
        <v>4/1/2019</v>
      </c>
      <c r="E123" s="39" t="str">
        <f>"Rent: "&amp;LOOKUP(A123-1, Months, TextMonths)&amp;" '"&amp;B123</f>
        <v>Rent: Apr '2019</v>
      </c>
      <c r="F123" s="36"/>
      <c r="G123" s="66">
        <v>3200</v>
      </c>
      <c r="H123" s="63">
        <f t="shared" si="3"/>
        <v>3200</v>
      </c>
    </row>
    <row r="124" spans="1:11" ht="12.75" customHeight="1" x14ac:dyDescent="0.25">
      <c r="A124" s="57">
        <f t="shared" si="0"/>
        <v>4</v>
      </c>
      <c r="B124" s="57">
        <f t="shared" si="1"/>
        <v>2019</v>
      </c>
      <c r="C124" s="37" t="str">
        <f t="shared" si="2"/>
        <v>Income: 1</v>
      </c>
      <c r="D124" s="28">
        <v>43556</v>
      </c>
      <c r="E124" s="29" t="s">
        <v>51</v>
      </c>
      <c r="F124" s="36">
        <v>1600</v>
      </c>
      <c r="G124" s="36"/>
      <c r="H124" s="63">
        <f t="shared" si="3"/>
        <v>1600</v>
      </c>
    </row>
    <row r="125" spans="1:11" ht="12.75" customHeight="1" x14ac:dyDescent="0.25">
      <c r="A125" s="57">
        <f t="shared" si="0"/>
        <v>4</v>
      </c>
      <c r="B125" s="57">
        <f t="shared" si="1"/>
        <v>2019</v>
      </c>
      <c r="C125" s="37" t="str">
        <f t="shared" si="2"/>
        <v>Income: 1</v>
      </c>
      <c r="D125" s="28">
        <v>43556</v>
      </c>
      <c r="E125" s="29" t="s">
        <v>51</v>
      </c>
      <c r="F125" s="36">
        <v>1600</v>
      </c>
      <c r="G125" s="36"/>
      <c r="H125" s="63">
        <f t="shared" si="3"/>
        <v>0</v>
      </c>
    </row>
    <row r="126" spans="1:11" ht="12.75" customHeight="1" x14ac:dyDescent="0.25">
      <c r="A126" s="57">
        <f t="shared" si="0"/>
        <v>5</v>
      </c>
      <c r="B126" s="57">
        <f t="shared" si="1"/>
        <v>2019</v>
      </c>
      <c r="C126" s="37" t="str">
        <f t="shared" si="2"/>
        <v>Rent: 1</v>
      </c>
      <c r="D126" s="40" t="str">
        <f>MOD(MONTH(D125), 12)+1 &amp; "/1/" &amp; IF(MONTH(D124)&gt;11, YEAR(D124)+1, YEAR(D124))</f>
        <v>5/1/2019</v>
      </c>
      <c r="E126" s="39" t="str">
        <f>"Rent: "&amp;LOOKUP(A126-1, Months, TextMonths)&amp;" '"&amp;B126</f>
        <v>Rent: May '2019</v>
      </c>
      <c r="F126" s="36"/>
      <c r="G126" s="66">
        <v>3200</v>
      </c>
      <c r="H126" s="63">
        <f t="shared" si="3"/>
        <v>3200</v>
      </c>
    </row>
    <row r="127" spans="1:11" ht="12.75" customHeight="1" x14ac:dyDescent="0.25">
      <c r="A127" s="57">
        <f t="shared" si="0"/>
        <v>4</v>
      </c>
      <c r="B127" s="57">
        <f t="shared" si="1"/>
        <v>2019</v>
      </c>
      <c r="C127" s="37" t="str">
        <f t="shared" si="2"/>
        <v>Income: 1</v>
      </c>
      <c r="D127" s="28">
        <v>43585</v>
      </c>
      <c r="E127" s="29" t="s">
        <v>51</v>
      </c>
      <c r="F127" s="36">
        <v>1600</v>
      </c>
      <c r="G127" s="36"/>
      <c r="H127" s="63">
        <f t="shared" si="3"/>
        <v>1600</v>
      </c>
    </row>
    <row r="128" spans="1:11" ht="12.75" customHeight="1" x14ac:dyDescent="0.25">
      <c r="A128" s="57">
        <f t="shared" si="0"/>
        <v>5</v>
      </c>
      <c r="B128" s="57">
        <f t="shared" si="1"/>
        <v>2019</v>
      </c>
      <c r="C128" s="37" t="str">
        <f t="shared" si="2"/>
        <v>Income: 1</v>
      </c>
      <c r="D128" s="28">
        <v>43586</v>
      </c>
      <c r="E128" s="29" t="s">
        <v>51</v>
      </c>
      <c r="F128" s="36">
        <v>1600</v>
      </c>
      <c r="G128" s="36"/>
      <c r="H128" s="63">
        <f t="shared" si="3"/>
        <v>0</v>
      </c>
    </row>
    <row r="129" spans="1:8" ht="12.75" customHeight="1" x14ac:dyDescent="0.25">
      <c r="A129" s="57">
        <f t="shared" si="0"/>
        <v>6</v>
      </c>
      <c r="B129" s="57">
        <f t="shared" si="1"/>
        <v>2019</v>
      </c>
      <c r="C129" s="37" t="str">
        <f t="shared" si="2"/>
        <v>Rent: 1</v>
      </c>
      <c r="D129" s="40" t="str">
        <f>MOD(MONTH(D128), 12)+1 &amp; "/1/" &amp; IF(MONTH(D127)&gt;11, YEAR(D127)+1, YEAR(D127))</f>
        <v>6/1/2019</v>
      </c>
      <c r="E129" s="39" t="str">
        <f>"Rent: "&amp;LOOKUP(A129-1, Months, TextMonths)&amp;" '"&amp;B129</f>
        <v>Rent: Jun '2019</v>
      </c>
      <c r="F129" s="36"/>
      <c r="G129" s="66">
        <v>3200</v>
      </c>
      <c r="H129" s="63">
        <f t="shared" si="3"/>
        <v>3200</v>
      </c>
    </row>
    <row r="130" spans="1:8" ht="12.75" customHeight="1" x14ac:dyDescent="0.25">
      <c r="A130" s="57">
        <f t="shared" si="0"/>
        <v>5</v>
      </c>
      <c r="B130" s="57">
        <f t="shared" si="1"/>
        <v>2019</v>
      </c>
      <c r="C130" s="37" t="str">
        <f t="shared" si="2"/>
        <v>Income: 1</v>
      </c>
      <c r="D130" s="28">
        <v>43616</v>
      </c>
      <c r="E130" s="29" t="s">
        <v>51</v>
      </c>
      <c r="F130" s="36">
        <v>1600</v>
      </c>
      <c r="G130" s="36"/>
      <c r="H130" s="63">
        <f t="shared" si="3"/>
        <v>1600</v>
      </c>
    </row>
    <row r="131" spans="1:8" ht="12.75" customHeight="1" x14ac:dyDescent="0.25">
      <c r="A131" s="57">
        <f t="shared" si="0"/>
        <v>6</v>
      </c>
      <c r="B131" s="57">
        <f t="shared" si="1"/>
        <v>2019</v>
      </c>
      <c r="C131" s="37" t="str">
        <f t="shared" si="2"/>
        <v>Income: 1</v>
      </c>
      <c r="D131" s="28">
        <v>43619</v>
      </c>
      <c r="E131" s="29" t="s">
        <v>51</v>
      </c>
      <c r="F131" s="36">
        <v>1600</v>
      </c>
      <c r="G131" s="36"/>
      <c r="H131" s="63">
        <f t="shared" si="3"/>
        <v>0</v>
      </c>
    </row>
    <row r="132" spans="1:8" ht="12.75" customHeight="1" x14ac:dyDescent="0.25">
      <c r="A132" s="57">
        <f t="shared" si="0"/>
        <v>7</v>
      </c>
      <c r="B132" s="57">
        <f t="shared" si="1"/>
        <v>2019</v>
      </c>
      <c r="C132" s="37" t="str">
        <f t="shared" si="2"/>
        <v>Rent: 1</v>
      </c>
      <c r="D132" s="40" t="str">
        <f>MOD(MONTH(D131), 12)+1 &amp; "/1/" &amp; IF(MONTH(D130)&gt;11, YEAR(D130)+1, YEAR(D130))</f>
        <v>7/1/2019</v>
      </c>
      <c r="E132" s="39" t="str">
        <f>"Rent: "&amp;LOOKUP(A132-1, Months, TextMonths)&amp;" '"&amp;B132</f>
        <v>Rent: Jul '2019</v>
      </c>
      <c r="F132" s="36"/>
      <c r="G132" s="66">
        <v>3200</v>
      </c>
      <c r="H132" s="63">
        <f t="shared" si="3"/>
        <v>3200</v>
      </c>
    </row>
    <row r="133" spans="1:8" ht="12.75" customHeight="1" x14ac:dyDescent="0.25">
      <c r="A133" s="57">
        <f t="shared" si="0"/>
        <v>7</v>
      </c>
      <c r="B133" s="57">
        <f t="shared" si="1"/>
        <v>2019</v>
      </c>
      <c r="C133" s="37" t="str">
        <f t="shared" si="2"/>
        <v>Income: 1</v>
      </c>
      <c r="D133" s="28">
        <v>43647</v>
      </c>
      <c r="E133" s="29" t="s">
        <v>51</v>
      </c>
      <c r="F133" s="36">
        <v>1600</v>
      </c>
      <c r="G133" s="36"/>
      <c r="H133" s="63">
        <f t="shared" si="3"/>
        <v>1600</v>
      </c>
    </row>
    <row r="134" spans="1:8" ht="12.75" customHeight="1" x14ac:dyDescent="0.25">
      <c r="A134" s="57">
        <f t="shared" si="0"/>
        <v>7</v>
      </c>
      <c r="B134" s="57">
        <f t="shared" si="1"/>
        <v>2019</v>
      </c>
      <c r="C134" s="37" t="str">
        <f t="shared" si="2"/>
        <v>Income: 1</v>
      </c>
      <c r="D134" s="28">
        <v>43647</v>
      </c>
      <c r="E134" s="29" t="s">
        <v>51</v>
      </c>
      <c r="F134" s="36">
        <v>1600</v>
      </c>
      <c r="G134" s="36"/>
      <c r="H134" s="63">
        <f t="shared" si="3"/>
        <v>0</v>
      </c>
    </row>
    <row r="135" spans="1:8" ht="12.75" customHeight="1" x14ac:dyDescent="0.25">
      <c r="A135" s="57">
        <f t="shared" si="0"/>
        <v>8</v>
      </c>
      <c r="B135" s="57">
        <f t="shared" si="1"/>
        <v>2019</v>
      </c>
      <c r="C135" s="37" t="str">
        <f t="shared" si="2"/>
        <v>Rent: 1</v>
      </c>
      <c r="D135" s="40" t="str">
        <f>MOD(MONTH(D134), 12)+1 &amp; "/1/" &amp; IF(MONTH(D133)&gt;11, YEAR(D133)+1, YEAR(D133))</f>
        <v>8/1/2019</v>
      </c>
      <c r="E135" s="39" t="str">
        <f>"Rent: "&amp;LOOKUP(A135-1, Months, TextMonths)&amp;" '"&amp;B135</f>
        <v>Rent: Aug '2019</v>
      </c>
      <c r="F135" s="36"/>
      <c r="G135" s="66">
        <v>3200</v>
      </c>
      <c r="H135" s="63">
        <f t="shared" si="3"/>
        <v>3200</v>
      </c>
    </row>
    <row r="136" spans="1:8" ht="12.75" customHeight="1" x14ac:dyDescent="0.25">
      <c r="A136" s="57">
        <f t="shared" si="0"/>
        <v>7</v>
      </c>
      <c r="B136" s="57">
        <f t="shared" si="1"/>
        <v>2019</v>
      </c>
      <c r="C136" s="37" t="str">
        <f t="shared" si="2"/>
        <v>Income: 1</v>
      </c>
      <c r="D136" s="28">
        <v>43677</v>
      </c>
      <c r="E136" s="29" t="s">
        <v>51</v>
      </c>
      <c r="F136" s="36">
        <v>1600</v>
      </c>
      <c r="G136" s="36"/>
      <c r="H136" s="63">
        <f t="shared" si="3"/>
        <v>1600</v>
      </c>
    </row>
    <row r="137" spans="1:8" ht="12.75" customHeight="1" x14ac:dyDescent="0.25">
      <c r="A137" s="57">
        <f t="shared" si="0"/>
        <v>8</v>
      </c>
      <c r="B137" s="57">
        <f t="shared" si="1"/>
        <v>2019</v>
      </c>
      <c r="C137" s="37" t="str">
        <f t="shared" si="2"/>
        <v>Income: 1</v>
      </c>
      <c r="D137" s="28">
        <v>43678</v>
      </c>
      <c r="E137" s="29" t="s">
        <v>51</v>
      </c>
      <c r="F137" s="36">
        <v>1600</v>
      </c>
      <c r="G137" s="36"/>
      <c r="H137" s="63">
        <f t="shared" si="3"/>
        <v>0</v>
      </c>
    </row>
    <row r="138" spans="1:8" ht="12.75" customHeight="1" x14ac:dyDescent="0.25">
      <c r="A138" s="57">
        <f t="shared" si="0"/>
        <v>9</v>
      </c>
      <c r="B138" s="57">
        <f t="shared" si="1"/>
        <v>2019</v>
      </c>
      <c r="C138" s="37" t="str">
        <f t="shared" si="2"/>
        <v>Rent: 1</v>
      </c>
      <c r="D138" s="40" t="str">
        <f>MOD(MONTH(D137), 12)+1 &amp; "/1/" &amp; IF(MONTH(D136)&gt;11, YEAR(D136)+1, YEAR(D136))</f>
        <v>9/1/2019</v>
      </c>
      <c r="E138" s="39" t="str">
        <f>"Rent: "&amp;LOOKUP(A138-1, Months, TextMonths)&amp;" '"&amp;B138</f>
        <v>Rent: Sep '2019</v>
      </c>
      <c r="F138" s="36"/>
      <c r="G138" s="66">
        <v>3200</v>
      </c>
      <c r="H138" s="63">
        <f t="shared" si="3"/>
        <v>3200</v>
      </c>
    </row>
    <row r="139" spans="1:8" ht="12.75" customHeight="1" x14ac:dyDescent="0.25">
      <c r="A139" s="57">
        <f t="shared" si="0"/>
        <v>9</v>
      </c>
      <c r="B139" s="57">
        <f t="shared" si="1"/>
        <v>2019</v>
      </c>
      <c r="C139" s="37" t="str">
        <f t="shared" si="2"/>
        <v>Income: 1</v>
      </c>
      <c r="D139" s="28">
        <v>43711</v>
      </c>
      <c r="E139" s="29" t="s">
        <v>51</v>
      </c>
      <c r="F139" s="36">
        <v>1600</v>
      </c>
      <c r="G139" s="36"/>
      <c r="H139" s="63">
        <f t="shared" si="3"/>
        <v>1600</v>
      </c>
    </row>
    <row r="140" spans="1:8" ht="12.75" customHeight="1" x14ac:dyDescent="0.25">
      <c r="A140" s="57">
        <f t="shared" si="0"/>
        <v>9</v>
      </c>
      <c r="B140" s="57">
        <f t="shared" si="1"/>
        <v>2019</v>
      </c>
      <c r="C140" s="37" t="str">
        <f t="shared" si="2"/>
        <v>Income: 1</v>
      </c>
      <c r="D140" s="28">
        <v>43711</v>
      </c>
      <c r="E140" s="29" t="s">
        <v>51</v>
      </c>
      <c r="F140" s="36">
        <v>1600</v>
      </c>
      <c r="G140" s="36"/>
      <c r="H140" s="63">
        <f t="shared" si="3"/>
        <v>0</v>
      </c>
    </row>
    <row r="141" spans="1:8" ht="12.75" customHeight="1" x14ac:dyDescent="0.25">
      <c r="A141" s="57">
        <f t="shared" si="0"/>
        <v>10</v>
      </c>
      <c r="B141" s="57">
        <f t="shared" si="1"/>
        <v>2019</v>
      </c>
      <c r="C141" s="37" t="str">
        <f t="shared" si="2"/>
        <v>Rent: 1</v>
      </c>
      <c r="D141" s="40" t="str">
        <f>MOD(MONTH(D140), 12)+1 &amp; "/1/" &amp; IF(MONTH(D139)&gt;11, YEAR(D139)+1, YEAR(D139))</f>
        <v>10/1/2019</v>
      </c>
      <c r="E141" s="39" t="str">
        <f>"Rent: "&amp;LOOKUP(A141-1, Months, TextMonths)&amp;" '"&amp;B141</f>
        <v>Rent: Oct '2019</v>
      </c>
      <c r="F141" s="36"/>
      <c r="G141" s="66">
        <v>3200</v>
      </c>
      <c r="H141" s="63">
        <f t="shared" si="3"/>
        <v>3200</v>
      </c>
    </row>
    <row r="142" spans="1:8" ht="12.75" customHeight="1" x14ac:dyDescent="0.25">
      <c r="A142" s="57">
        <f t="shared" si="0"/>
        <v>9</v>
      </c>
      <c r="B142" s="57">
        <f t="shared" si="1"/>
        <v>2019</v>
      </c>
      <c r="C142" s="37" t="str">
        <f t="shared" si="2"/>
        <v>Income: 1</v>
      </c>
      <c r="D142" s="28">
        <v>43738</v>
      </c>
      <c r="E142" s="29" t="s">
        <v>51</v>
      </c>
      <c r="F142" s="36">
        <v>1600</v>
      </c>
      <c r="G142" s="36"/>
      <c r="H142" s="63">
        <f t="shared" si="3"/>
        <v>1600</v>
      </c>
    </row>
    <row r="143" spans="1:8" ht="12.75" customHeight="1" x14ac:dyDescent="0.25">
      <c r="A143" s="57">
        <f t="shared" si="0"/>
        <v>10</v>
      </c>
      <c r="B143" s="57">
        <f t="shared" si="1"/>
        <v>2019</v>
      </c>
      <c r="C143" s="37" t="str">
        <f t="shared" si="2"/>
        <v>Income: 1</v>
      </c>
      <c r="D143" s="28">
        <v>43739</v>
      </c>
      <c r="E143" s="29" t="s">
        <v>51</v>
      </c>
      <c r="F143" s="36">
        <v>1600</v>
      </c>
      <c r="G143" s="36"/>
      <c r="H143" s="63">
        <f t="shared" si="3"/>
        <v>0</v>
      </c>
    </row>
    <row r="144" spans="1:8" ht="12.75" customHeight="1" x14ac:dyDescent="0.25">
      <c r="A144" s="57">
        <f t="shared" si="0"/>
        <v>11</v>
      </c>
      <c r="B144" s="57">
        <f t="shared" si="1"/>
        <v>2019</v>
      </c>
      <c r="C144" s="37" t="str">
        <f t="shared" si="2"/>
        <v>Rent: 1</v>
      </c>
      <c r="D144" s="40" t="str">
        <f>MOD(MONTH(D143), 12)+1 &amp; "/1/" &amp; IF(MONTH(D142)&gt;11, YEAR(D142)+1, YEAR(D142))</f>
        <v>11/1/2019</v>
      </c>
      <c r="E144" s="39" t="str">
        <f>"Rent: "&amp;LOOKUP(A144-1, Months, TextMonths)&amp;" '"&amp;B144</f>
        <v>Rent: Nov '2019</v>
      </c>
      <c r="F144" s="36"/>
      <c r="G144" s="66">
        <v>3200</v>
      </c>
      <c r="H144" s="63">
        <f t="shared" si="3"/>
        <v>3200</v>
      </c>
    </row>
    <row r="145" spans="1:10" ht="12.75" customHeight="1" x14ac:dyDescent="0.25">
      <c r="A145" s="57">
        <f t="shared" si="0"/>
        <v>10</v>
      </c>
      <c r="B145" s="57">
        <f t="shared" si="1"/>
        <v>2019</v>
      </c>
      <c r="C145" s="37" t="str">
        <f t="shared" si="2"/>
        <v>Income: 1</v>
      </c>
      <c r="D145" s="28">
        <v>43769</v>
      </c>
      <c r="E145" s="29" t="s">
        <v>51</v>
      </c>
      <c r="F145" s="36">
        <v>1600</v>
      </c>
      <c r="G145" s="36"/>
      <c r="H145" s="63">
        <f t="shared" si="3"/>
        <v>1600</v>
      </c>
    </row>
    <row r="146" spans="1:10" ht="12.75" customHeight="1" x14ac:dyDescent="0.25">
      <c r="A146" s="57">
        <f t="shared" si="0"/>
        <v>11</v>
      </c>
      <c r="B146" s="57">
        <f t="shared" si="1"/>
        <v>2019</v>
      </c>
      <c r="C146" s="37" t="str">
        <f t="shared" si="2"/>
        <v>Income: 1</v>
      </c>
      <c r="D146" s="28">
        <v>43770</v>
      </c>
      <c r="E146" s="29" t="s">
        <v>51</v>
      </c>
      <c r="F146" s="36">
        <v>1600</v>
      </c>
      <c r="G146" s="36"/>
      <c r="H146" s="63">
        <f t="shared" si="3"/>
        <v>0</v>
      </c>
    </row>
    <row r="147" spans="1:10" ht="12.75" customHeight="1" x14ac:dyDescent="0.25">
      <c r="A147" s="57">
        <f t="shared" si="0"/>
        <v>12</v>
      </c>
      <c r="B147" s="57">
        <f t="shared" si="1"/>
        <v>2019</v>
      </c>
      <c r="C147" s="37" t="str">
        <f t="shared" si="2"/>
        <v>Rent: 1</v>
      </c>
      <c r="D147" s="40" t="str">
        <f>MOD(MONTH(D145)+1, 12)+1 &amp; "/1/" &amp; IF(MONTH(D144)&gt;11, YEAR(D144)+1, YEAR(D144))</f>
        <v>12/1/2019</v>
      </c>
      <c r="E147" s="39" t="str">
        <f>"Rent: "&amp;LOOKUP(A147-1, Months, TextMonths)&amp;" '"&amp;B147</f>
        <v>Rent: Dec '2019</v>
      </c>
      <c r="F147" s="36"/>
      <c r="G147" s="66">
        <v>3200</v>
      </c>
      <c r="H147" s="63">
        <f t="shared" si="3"/>
        <v>3200</v>
      </c>
      <c r="I147" s="39"/>
      <c r="J147" s="30"/>
    </row>
    <row r="148" spans="1:10" ht="12.75" customHeight="1" x14ac:dyDescent="0.25">
      <c r="A148" s="57">
        <f t="shared" si="0"/>
        <v>12</v>
      </c>
      <c r="B148" s="57">
        <f t="shared" si="1"/>
        <v>2019</v>
      </c>
      <c r="C148" s="37" t="str">
        <f t="shared" si="2"/>
        <v>Income: 1</v>
      </c>
      <c r="D148" s="28">
        <v>43801</v>
      </c>
      <c r="E148" s="29" t="s">
        <v>51</v>
      </c>
      <c r="F148" s="36">
        <v>1600</v>
      </c>
      <c r="G148" s="36"/>
      <c r="H148" s="63">
        <f t="shared" si="3"/>
        <v>1600</v>
      </c>
      <c r="I148" s="15"/>
      <c r="J148" s="15"/>
    </row>
    <row r="149" spans="1:10" ht="12.75" customHeight="1" x14ac:dyDescent="0.25">
      <c r="A149" s="57">
        <f t="shared" si="0"/>
        <v>12</v>
      </c>
      <c r="B149" s="57">
        <f t="shared" si="1"/>
        <v>2019</v>
      </c>
      <c r="C149" s="37" t="str">
        <f t="shared" si="2"/>
        <v>Income: 1</v>
      </c>
      <c r="D149" s="28">
        <v>43801</v>
      </c>
      <c r="E149" s="29" t="s">
        <v>51</v>
      </c>
      <c r="F149" s="36">
        <v>1600</v>
      </c>
      <c r="G149" s="36"/>
      <c r="H149" s="63">
        <f t="shared" si="3"/>
        <v>0</v>
      </c>
    </row>
    <row r="150" spans="1:10" ht="12.75" customHeight="1" x14ac:dyDescent="0.25">
      <c r="A150" s="57">
        <f t="shared" si="0"/>
        <v>1</v>
      </c>
      <c r="B150" s="57">
        <f t="shared" si="1"/>
        <v>2020</v>
      </c>
      <c r="C150" s="37" t="str">
        <f t="shared" si="2"/>
        <v>Rent: 1</v>
      </c>
      <c r="D150" s="40" t="str">
        <f>MOD(MONTH(D149), 12)+1 &amp; "/1/" &amp; IF(MONTH(D148)&gt;11, YEAR(D148)+1, YEAR(D148))</f>
        <v>1/1/2020</v>
      </c>
      <c r="E150" s="39" t="str">
        <f>"Rent: "&amp;LOOKUP(A150-1, Months, TextMonths)&amp;" '"&amp;B150</f>
        <v>Rent: Jan '2020</v>
      </c>
      <c r="F150" s="36"/>
      <c r="G150" s="66">
        <v>3200</v>
      </c>
      <c r="H150" s="63">
        <f t="shared" si="3"/>
        <v>3200</v>
      </c>
    </row>
    <row r="151" spans="1:10" ht="12.75" customHeight="1" x14ac:dyDescent="0.25">
      <c r="A151" s="57">
        <f t="shared" si="0"/>
        <v>12</v>
      </c>
      <c r="B151" s="57">
        <f t="shared" si="1"/>
        <v>2019</v>
      </c>
      <c r="C151" s="37" t="str">
        <f t="shared" si="2"/>
        <v>Income: 1</v>
      </c>
      <c r="D151" s="28">
        <v>43829</v>
      </c>
      <c r="E151" s="29" t="s">
        <v>51</v>
      </c>
      <c r="F151" s="36">
        <v>1600</v>
      </c>
      <c r="G151" s="36"/>
      <c r="H151" s="63">
        <f t="shared" si="3"/>
        <v>1600</v>
      </c>
    </row>
    <row r="152" spans="1:10" ht="12.75" customHeight="1" x14ac:dyDescent="0.25">
      <c r="A152" s="57">
        <f t="shared" si="0"/>
        <v>12</v>
      </c>
      <c r="B152" s="57">
        <f t="shared" si="1"/>
        <v>2019</v>
      </c>
      <c r="C152" s="37" t="str">
        <f t="shared" si="2"/>
        <v>Income: 1</v>
      </c>
      <c r="D152" s="28">
        <v>43830</v>
      </c>
      <c r="E152" s="29" t="s">
        <v>51</v>
      </c>
      <c r="F152" s="36">
        <v>1600</v>
      </c>
      <c r="G152" s="36"/>
      <c r="H152" s="63">
        <f t="shared" si="3"/>
        <v>0</v>
      </c>
    </row>
    <row r="153" spans="1:10" ht="12.75" customHeight="1" x14ac:dyDescent="0.25">
      <c r="A153" s="57">
        <f t="shared" si="0"/>
        <v>2</v>
      </c>
      <c r="B153" s="57">
        <f t="shared" si="1"/>
        <v>2020</v>
      </c>
      <c r="C153" s="37" t="str">
        <f t="shared" si="2"/>
        <v>Rent: 1</v>
      </c>
      <c r="D153" s="40" t="str">
        <f>MOD(MONTH(D152)+1, 12)+1 &amp; "/1/" &amp; IF(MONTH(D151)&gt;11, YEAR(D151)+1, YEAR(D151))</f>
        <v>2/1/2020</v>
      </c>
      <c r="E153" s="39" t="str">
        <f>"Rent: "&amp;LOOKUP(A153-1, Months, TextMonths)&amp;" '"&amp;B153</f>
        <v>Rent: Feb '2020</v>
      </c>
      <c r="F153" s="36"/>
      <c r="G153" s="66">
        <v>3200</v>
      </c>
      <c r="H153" s="63">
        <f t="shared" si="3"/>
        <v>3200</v>
      </c>
    </row>
    <row r="154" spans="1:10" ht="12.75" customHeight="1" x14ac:dyDescent="0.25">
      <c r="A154" s="57">
        <f t="shared" si="0"/>
        <v>1</v>
      </c>
      <c r="B154" s="57">
        <f t="shared" si="1"/>
        <v>2020</v>
      </c>
      <c r="C154" s="37" t="str">
        <f t="shared" si="2"/>
        <v>Income: 1</v>
      </c>
      <c r="D154" s="28">
        <v>43861</v>
      </c>
      <c r="E154" s="29" t="s">
        <v>51</v>
      </c>
      <c r="F154" s="36">
        <v>1600</v>
      </c>
      <c r="G154" s="36"/>
      <c r="H154" s="63">
        <f t="shared" si="3"/>
        <v>1600</v>
      </c>
    </row>
    <row r="155" spans="1:10" ht="12.75" customHeight="1" x14ac:dyDescent="0.25">
      <c r="A155" s="57">
        <f t="shared" si="0"/>
        <v>2</v>
      </c>
      <c r="B155" s="57">
        <f t="shared" si="1"/>
        <v>2020</v>
      </c>
      <c r="C155" s="37" t="str">
        <f t="shared" si="2"/>
        <v>Income: 1</v>
      </c>
      <c r="D155" s="28">
        <v>43864</v>
      </c>
      <c r="E155" s="29" t="s">
        <v>51</v>
      </c>
      <c r="F155" s="36">
        <v>1600</v>
      </c>
      <c r="G155" s="36"/>
      <c r="H155" s="63">
        <f t="shared" si="3"/>
        <v>0</v>
      </c>
    </row>
    <row r="156" spans="1:10" ht="12.75" customHeight="1" x14ac:dyDescent="0.25">
      <c r="A156" s="57">
        <f t="shared" si="0"/>
        <v>3</v>
      </c>
      <c r="B156" s="57">
        <f t="shared" si="1"/>
        <v>2020</v>
      </c>
      <c r="C156" s="37" t="str">
        <f t="shared" si="2"/>
        <v>Rent: 1</v>
      </c>
      <c r="D156" s="40" t="str">
        <f>MOD(MONTH(D155), 12)+1 &amp; "/1/" &amp; IF(MONTH(D154)&gt;11, YEAR(D154)+1, YEAR(D154))</f>
        <v>3/1/2020</v>
      </c>
      <c r="E156" s="39" t="str">
        <f>"Rent: "&amp;LOOKUP(A156-1, Months, TextMonths)&amp;" '"&amp;B156</f>
        <v>Rent: Mar '2020</v>
      </c>
      <c r="F156" s="36"/>
      <c r="G156" s="66">
        <v>3200</v>
      </c>
      <c r="H156" s="63">
        <f t="shared" si="3"/>
        <v>3200</v>
      </c>
    </row>
    <row r="157" spans="1:10" ht="12.75" customHeight="1" x14ac:dyDescent="0.25">
      <c r="A157" s="57">
        <f t="shared" si="0"/>
        <v>3</v>
      </c>
      <c r="B157" s="57">
        <f t="shared" si="1"/>
        <v>2020</v>
      </c>
      <c r="C157" s="37" t="str">
        <f t="shared" si="2"/>
        <v>Income: 1</v>
      </c>
      <c r="D157" s="28">
        <v>43892</v>
      </c>
      <c r="E157" s="29" t="s">
        <v>51</v>
      </c>
      <c r="F157" s="36">
        <v>862.5</v>
      </c>
      <c r="G157" s="36"/>
      <c r="H157" s="63">
        <f t="shared" si="3"/>
        <v>2337.5</v>
      </c>
    </row>
    <row r="158" spans="1:10" ht="12.75" customHeight="1" x14ac:dyDescent="0.25">
      <c r="A158" s="57">
        <f t="shared" si="0"/>
        <v>3</v>
      </c>
      <c r="B158" s="57">
        <f t="shared" si="1"/>
        <v>2020</v>
      </c>
      <c r="C158" s="37" t="str">
        <f t="shared" si="2"/>
        <v>Income: 1</v>
      </c>
      <c r="D158" s="28">
        <v>43892</v>
      </c>
      <c r="E158" s="29" t="s">
        <v>51</v>
      </c>
      <c r="F158" s="36">
        <v>1637.5</v>
      </c>
      <c r="G158" s="36"/>
      <c r="H158" s="63">
        <f t="shared" si="3"/>
        <v>700</v>
      </c>
    </row>
    <row r="159" spans="1:10" ht="12.75" customHeight="1" x14ac:dyDescent="0.25">
      <c r="A159" s="57">
        <f t="shared" si="0"/>
        <v>3</v>
      </c>
      <c r="B159" s="57">
        <f t="shared" si="1"/>
        <v>2020</v>
      </c>
      <c r="C159" s="37" t="str">
        <f t="shared" si="2"/>
        <v>Income: 1</v>
      </c>
      <c r="D159" s="28">
        <v>43892</v>
      </c>
      <c r="E159" s="29" t="s">
        <v>51</v>
      </c>
      <c r="F159" s="36">
        <v>775</v>
      </c>
      <c r="G159" s="36"/>
      <c r="H159" s="63">
        <f t="shared" si="3"/>
        <v>-75</v>
      </c>
      <c r="I159" s="30"/>
    </row>
    <row r="160" spans="1:10" ht="12.75" customHeight="1" x14ac:dyDescent="0.25">
      <c r="A160" s="57">
        <f t="shared" si="0"/>
        <v>4</v>
      </c>
      <c r="B160" s="57">
        <f t="shared" si="1"/>
        <v>2020</v>
      </c>
      <c r="C160" s="37" t="str">
        <f t="shared" si="2"/>
        <v>Rent: 1</v>
      </c>
      <c r="D160" s="40" t="str">
        <f>MOD(MONTH(D159), 12)+1 &amp; "/1/" &amp; IF(MONTH(D158)&gt;11, YEAR(D158)+1, YEAR(D158))</f>
        <v>4/1/2020</v>
      </c>
      <c r="E160" s="39" t="str">
        <f>"Rent: "&amp;LOOKUP(A160-1, Months, TextMonths)&amp;" '"&amp;B160</f>
        <v>Rent: Apr '2020</v>
      </c>
      <c r="F160" s="36"/>
      <c r="G160" s="66">
        <v>3275</v>
      </c>
      <c r="H160" s="63">
        <f t="shared" si="3"/>
        <v>3200</v>
      </c>
      <c r="I160" s="29"/>
    </row>
    <row r="161" spans="1:9" ht="12.75" customHeight="1" x14ac:dyDescent="0.25">
      <c r="A161" s="57">
        <f t="shared" si="0"/>
        <v>3</v>
      </c>
      <c r="B161" s="57">
        <f t="shared" si="1"/>
        <v>2020</v>
      </c>
      <c r="C161" s="37" t="str">
        <f t="shared" si="2"/>
        <v>Income: 1</v>
      </c>
      <c r="D161" s="28">
        <v>43921</v>
      </c>
      <c r="E161" s="29" t="s">
        <v>51</v>
      </c>
      <c r="F161" s="36">
        <v>1600</v>
      </c>
      <c r="G161" s="36"/>
      <c r="H161" s="63">
        <f t="shared" si="3"/>
        <v>1600</v>
      </c>
    </row>
    <row r="162" spans="1:9" ht="12.75" customHeight="1" x14ac:dyDescent="0.25">
      <c r="A162" s="57">
        <f t="shared" si="0"/>
        <v>4</v>
      </c>
      <c r="B162" s="57">
        <f t="shared" si="1"/>
        <v>2020</v>
      </c>
      <c r="C162" s="37" t="str">
        <f t="shared" si="2"/>
        <v>Income: 1</v>
      </c>
      <c r="D162" s="28">
        <v>43922</v>
      </c>
      <c r="E162" s="29" t="s">
        <v>51</v>
      </c>
      <c r="F162" s="36">
        <v>1600</v>
      </c>
      <c r="G162" s="36"/>
      <c r="H162" s="63">
        <f t="shared" si="3"/>
        <v>0</v>
      </c>
    </row>
    <row r="163" spans="1:9" ht="12.75" customHeight="1" x14ac:dyDescent="0.25">
      <c r="A163" s="57">
        <f t="shared" si="0"/>
        <v>5</v>
      </c>
      <c r="B163" s="57">
        <f t="shared" si="1"/>
        <v>2020</v>
      </c>
      <c r="C163" s="37" t="str">
        <f t="shared" si="2"/>
        <v>Rent: 1</v>
      </c>
      <c r="D163" s="40" t="str">
        <f>MOD(MONTH(D162), 12)+1 &amp; "/1/" &amp; IF(MONTH(D161)&gt;11, YEAR(D161)+1, YEAR(D161))</f>
        <v>5/1/2020</v>
      </c>
      <c r="E163" s="39" t="str">
        <f>"Rent: "&amp;LOOKUP(A163-1, Months, TextMonths)&amp;" '"&amp;B163</f>
        <v>Rent: May '2020</v>
      </c>
      <c r="F163" s="36"/>
      <c r="G163" s="66">
        <v>3275</v>
      </c>
      <c r="H163" s="63">
        <f t="shared" si="3"/>
        <v>3275</v>
      </c>
    </row>
    <row r="164" spans="1:9" ht="12.75" customHeight="1" x14ac:dyDescent="0.25">
      <c r="A164" s="57">
        <f t="shared" si="0"/>
        <v>4</v>
      </c>
      <c r="B164" s="57">
        <f t="shared" si="1"/>
        <v>2020</v>
      </c>
      <c r="C164" s="37" t="str">
        <f t="shared" si="2"/>
        <v>Income: 1</v>
      </c>
      <c r="D164" s="28">
        <v>43951</v>
      </c>
      <c r="E164" s="29" t="s">
        <v>51</v>
      </c>
      <c r="F164" s="36">
        <v>1637.5</v>
      </c>
      <c r="G164" s="36"/>
      <c r="H164" s="63">
        <f t="shared" si="3"/>
        <v>1637.5</v>
      </c>
      <c r="I164" s="29"/>
    </row>
    <row r="165" spans="1:9" ht="12.75" customHeight="1" x14ac:dyDescent="0.25">
      <c r="A165" s="57">
        <f t="shared" si="0"/>
        <v>5</v>
      </c>
      <c r="B165" s="57">
        <f t="shared" si="1"/>
        <v>2020</v>
      </c>
      <c r="C165" s="37" t="str">
        <f t="shared" si="2"/>
        <v>Income: 1</v>
      </c>
      <c r="D165" s="28">
        <v>43952</v>
      </c>
      <c r="E165" s="29" t="s">
        <v>51</v>
      </c>
      <c r="F165" s="36">
        <v>1637.5</v>
      </c>
      <c r="G165" s="36"/>
      <c r="H165" s="63">
        <f t="shared" si="3"/>
        <v>0</v>
      </c>
      <c r="I165" s="29"/>
    </row>
    <row r="166" spans="1:9" ht="12.75" customHeight="1" x14ac:dyDescent="0.25">
      <c r="A166" s="57">
        <f t="shared" si="0"/>
        <v>6</v>
      </c>
      <c r="B166" s="57">
        <f t="shared" si="1"/>
        <v>2020</v>
      </c>
      <c r="C166" s="37" t="str">
        <f t="shared" si="2"/>
        <v>Rent: 1</v>
      </c>
      <c r="D166" s="40" t="str">
        <f>MOD(MONTH(D165), 12)+1 &amp; "/1/" &amp; IF(MONTH(D164)&gt;11, YEAR(D164)+1, YEAR(D164))</f>
        <v>6/1/2020</v>
      </c>
      <c r="E166" s="39" t="str">
        <f>"Rent: "&amp;LOOKUP(A166-1, Months, TextMonths)&amp;" '"&amp;B166</f>
        <v>Rent: Jun '2020</v>
      </c>
      <c r="F166" s="36"/>
      <c r="G166" s="66">
        <v>3275</v>
      </c>
      <c r="H166" s="63">
        <f t="shared" si="3"/>
        <v>3275</v>
      </c>
    </row>
    <row r="167" spans="1:9" ht="12.75" customHeight="1" x14ac:dyDescent="0.25">
      <c r="A167" s="57">
        <f t="shared" si="0"/>
        <v>6</v>
      </c>
      <c r="B167" s="57">
        <f t="shared" si="1"/>
        <v>2020</v>
      </c>
      <c r="C167" s="37" t="str">
        <f t="shared" si="2"/>
        <v>Income: 1</v>
      </c>
      <c r="D167" s="28">
        <v>43983</v>
      </c>
      <c r="E167" s="29" t="s">
        <v>51</v>
      </c>
      <c r="F167" s="36">
        <v>1637.5</v>
      </c>
      <c r="G167" s="36"/>
      <c r="H167" s="63">
        <f t="shared" si="3"/>
        <v>1637.5</v>
      </c>
      <c r="I167" s="29"/>
    </row>
    <row r="168" spans="1:9" ht="12.75" customHeight="1" x14ac:dyDescent="0.25">
      <c r="A168" s="57">
        <f t="shared" si="0"/>
        <v>6</v>
      </c>
      <c r="B168" s="57">
        <f t="shared" si="1"/>
        <v>2020</v>
      </c>
      <c r="C168" s="37" t="str">
        <f t="shared" si="2"/>
        <v>Income: 1</v>
      </c>
      <c r="D168" s="28">
        <v>43983</v>
      </c>
      <c r="E168" s="29" t="s">
        <v>51</v>
      </c>
      <c r="F168" s="36">
        <v>1637.5</v>
      </c>
      <c r="G168" s="36"/>
      <c r="H168" s="63">
        <f t="shared" si="3"/>
        <v>0</v>
      </c>
      <c r="I168" s="29"/>
    </row>
    <row r="169" spans="1:9" ht="12.75" customHeight="1" x14ac:dyDescent="0.25">
      <c r="A169" s="57">
        <f t="shared" si="0"/>
        <v>7</v>
      </c>
      <c r="B169" s="57">
        <f t="shared" si="1"/>
        <v>2020</v>
      </c>
      <c r="C169" s="37" t="str">
        <f t="shared" si="2"/>
        <v>Rent: 1</v>
      </c>
      <c r="D169" s="40" t="str">
        <f>MOD(MONTH(D168), 12)+1 &amp; "/1/" &amp; IF(MONTH(D167)&gt;11, YEAR(D167)+1, YEAR(D167))</f>
        <v>7/1/2020</v>
      </c>
      <c r="E169" s="39" t="str">
        <f>"Rent: "&amp;LOOKUP(A169-1, Months, TextMonths)&amp;" '"&amp;B169</f>
        <v>Rent: Jul '2020</v>
      </c>
      <c r="F169" s="36"/>
      <c r="G169" s="66">
        <v>3275</v>
      </c>
      <c r="H169" s="63">
        <f t="shared" si="3"/>
        <v>3275</v>
      </c>
    </row>
    <row r="170" spans="1:9" ht="12.75" customHeight="1" x14ac:dyDescent="0.25">
      <c r="A170" s="57">
        <f t="shared" si="0"/>
        <v>6</v>
      </c>
      <c r="B170" s="57">
        <f t="shared" si="1"/>
        <v>2020</v>
      </c>
      <c r="C170" s="37" t="str">
        <f t="shared" si="2"/>
        <v>Income: 1</v>
      </c>
      <c r="D170" s="28">
        <v>44012</v>
      </c>
      <c r="E170" s="29" t="s">
        <v>51</v>
      </c>
      <c r="F170" s="36">
        <v>1637.5</v>
      </c>
      <c r="G170" s="36"/>
      <c r="H170" s="63">
        <f t="shared" si="3"/>
        <v>1637.5</v>
      </c>
      <c r="I170" s="29"/>
    </row>
    <row r="171" spans="1:9" ht="12.75" customHeight="1" x14ac:dyDescent="0.25">
      <c r="A171" s="57">
        <f t="shared" si="0"/>
        <v>7</v>
      </c>
      <c r="B171" s="57">
        <f t="shared" si="1"/>
        <v>2020</v>
      </c>
      <c r="C171" s="37" t="str">
        <f t="shared" si="2"/>
        <v>Income: 1</v>
      </c>
      <c r="D171" s="28">
        <v>44013</v>
      </c>
      <c r="E171" s="29" t="s">
        <v>51</v>
      </c>
      <c r="F171" s="36">
        <v>1637.5</v>
      </c>
      <c r="G171" s="36"/>
      <c r="H171" s="63">
        <f t="shared" si="3"/>
        <v>0</v>
      </c>
      <c r="I171" s="29"/>
    </row>
    <row r="172" spans="1:9" ht="12.75" customHeight="1" x14ac:dyDescent="0.25">
      <c r="A172" s="57">
        <f t="shared" si="0"/>
        <v>8</v>
      </c>
      <c r="B172" s="57">
        <f t="shared" si="1"/>
        <v>2020</v>
      </c>
      <c r="C172" s="37" t="str">
        <f t="shared" si="2"/>
        <v/>
      </c>
      <c r="D172" s="28">
        <v>44047</v>
      </c>
      <c r="E172" s="29" t="s">
        <v>62</v>
      </c>
      <c r="F172" s="36"/>
      <c r="G172" s="36">
        <v>350</v>
      </c>
      <c r="H172" s="63">
        <f t="shared" si="3"/>
        <v>350</v>
      </c>
      <c r="I172" s="29"/>
    </row>
    <row r="173" spans="1:9" ht="12.75" customHeight="1" x14ac:dyDescent="0.25">
      <c r="A173" s="57">
        <f t="shared" si="0"/>
        <v>8</v>
      </c>
      <c r="B173" s="57">
        <f t="shared" si="1"/>
        <v>2020</v>
      </c>
      <c r="C173" s="37" t="str">
        <f t="shared" si="2"/>
        <v>Income: 1</v>
      </c>
      <c r="D173" s="28">
        <v>44047</v>
      </c>
      <c r="E173" s="29" t="s">
        <v>51</v>
      </c>
      <c r="F173" s="36">
        <v>350</v>
      </c>
      <c r="G173" s="36"/>
      <c r="H173" s="63">
        <f t="shared" si="3"/>
        <v>0</v>
      </c>
      <c r="I173" s="29"/>
    </row>
    <row r="174" spans="1:9" ht="12.75" customHeight="1" x14ac:dyDescent="0.25">
      <c r="A174" s="57">
        <f t="shared" si="0"/>
        <v>8</v>
      </c>
      <c r="B174" s="57">
        <f t="shared" si="1"/>
        <v>2020</v>
      </c>
      <c r="C174" s="37" t="str">
        <f t="shared" si="2"/>
        <v>Rent: 1</v>
      </c>
      <c r="D174" s="40" t="str">
        <f>MOD(MONTH(D173), 12) &amp; "/1/" &amp; IF(MONTH(D172)&gt;11, YEAR(D172)+1, YEAR(D172))</f>
        <v>8/1/2020</v>
      </c>
      <c r="E174" s="39" t="str">
        <f>"Rent: "&amp;LOOKUP(A174-1, Months, TextMonths)&amp;" '"&amp;B174</f>
        <v>Rent: Aug '2020</v>
      </c>
      <c r="F174" s="36"/>
      <c r="G174" s="66">
        <v>3275</v>
      </c>
      <c r="H174" s="63">
        <f t="shared" si="3"/>
        <v>3275</v>
      </c>
    </row>
    <row r="175" spans="1:9" ht="12.75" customHeight="1" x14ac:dyDescent="0.25">
      <c r="A175" s="57">
        <f t="shared" si="0"/>
        <v>7</v>
      </c>
      <c r="B175" s="57">
        <f t="shared" si="1"/>
        <v>2020</v>
      </c>
      <c r="C175" s="37" t="str">
        <f t="shared" si="2"/>
        <v>Income: 1</v>
      </c>
      <c r="D175" s="28">
        <v>44043</v>
      </c>
      <c r="E175" s="29" t="s">
        <v>51</v>
      </c>
      <c r="F175" s="36">
        <v>1637.5</v>
      </c>
      <c r="G175" s="36"/>
      <c r="H175" s="63">
        <f t="shared" si="3"/>
        <v>1637.5</v>
      </c>
      <c r="I175" s="29"/>
    </row>
    <row r="176" spans="1:9" ht="12.75" customHeight="1" x14ac:dyDescent="0.25">
      <c r="A176" s="57">
        <f t="shared" si="0"/>
        <v>8</v>
      </c>
      <c r="B176" s="57">
        <f t="shared" si="1"/>
        <v>2020</v>
      </c>
      <c r="C176" s="37" t="str">
        <f t="shared" si="2"/>
        <v>Income: 1</v>
      </c>
      <c r="D176" s="28">
        <v>44046</v>
      </c>
      <c r="E176" s="29" t="s">
        <v>51</v>
      </c>
      <c r="F176" s="36">
        <v>1637.5</v>
      </c>
      <c r="G176" s="36"/>
      <c r="H176" s="63">
        <f t="shared" si="3"/>
        <v>0</v>
      </c>
      <c r="I176" s="29"/>
    </row>
    <row r="177" spans="1:9" ht="12.75" customHeight="1" x14ac:dyDescent="0.25">
      <c r="A177" s="57">
        <f t="shared" si="0"/>
        <v>9</v>
      </c>
      <c r="B177" s="57">
        <f t="shared" si="1"/>
        <v>2020</v>
      </c>
      <c r="C177" s="37" t="str">
        <f t="shared" si="2"/>
        <v>Rent: 1</v>
      </c>
      <c r="D177" s="40" t="str">
        <f>MOD(MONTH(D176), 12)+1 &amp; "/1/" &amp; IF(MONTH(D176)&gt;11, YEAR(D176)+1, YEAR(D176))</f>
        <v>9/1/2020</v>
      </c>
      <c r="E177" s="39" t="str">
        <f>"Rent: "&amp;LOOKUP(A177-1, Months, TextMonths)&amp;" '"&amp;B177</f>
        <v>Rent: Sep '2020</v>
      </c>
      <c r="F177" s="36"/>
      <c r="G177" s="66">
        <v>3275</v>
      </c>
      <c r="H177" s="63">
        <f t="shared" si="3"/>
        <v>3275</v>
      </c>
    </row>
    <row r="178" spans="1:9" ht="12.75" customHeight="1" x14ac:dyDescent="0.25">
      <c r="A178" s="57">
        <f t="shared" si="0"/>
        <v>8</v>
      </c>
      <c r="B178" s="57">
        <f t="shared" si="1"/>
        <v>2020</v>
      </c>
      <c r="C178" s="37" t="str">
        <f t="shared" si="2"/>
        <v>Income: 1</v>
      </c>
      <c r="D178" s="28">
        <v>44074</v>
      </c>
      <c r="E178" s="29" t="s">
        <v>51</v>
      </c>
      <c r="F178" s="36">
        <v>1637.5</v>
      </c>
      <c r="G178" s="36"/>
      <c r="H178" s="63">
        <f t="shared" si="3"/>
        <v>1637.5</v>
      </c>
      <c r="I178" s="29"/>
    </row>
    <row r="179" spans="1:9" ht="12.75" customHeight="1" x14ac:dyDescent="0.25">
      <c r="A179" s="57">
        <f t="shared" si="0"/>
        <v>9</v>
      </c>
      <c r="B179" s="57">
        <f t="shared" si="1"/>
        <v>2020</v>
      </c>
      <c r="C179" s="37" t="str">
        <f t="shared" si="2"/>
        <v>Income: 1</v>
      </c>
      <c r="D179" s="28">
        <v>44075</v>
      </c>
      <c r="E179" s="29" t="s">
        <v>51</v>
      </c>
      <c r="F179" s="36">
        <v>1637.5</v>
      </c>
      <c r="G179" s="36"/>
      <c r="H179" s="63">
        <f t="shared" si="3"/>
        <v>0</v>
      </c>
      <c r="I179" s="29"/>
    </row>
    <row r="180" spans="1:9" ht="12.75" customHeight="1" x14ac:dyDescent="0.25">
      <c r="A180" s="57">
        <f t="shared" si="0"/>
        <v>10</v>
      </c>
      <c r="B180" s="57">
        <f t="shared" si="1"/>
        <v>2020</v>
      </c>
      <c r="C180" s="37" t="str">
        <f t="shared" si="2"/>
        <v>Rent: 1</v>
      </c>
      <c r="D180" s="40" t="str">
        <f>MOD(MONTH(D179), 12)+1 &amp; "/1/" &amp; IF(MONTH(D179)&gt;11, YEAR(D179)+1, YEAR(D179))</f>
        <v>10/1/2020</v>
      </c>
      <c r="E180" s="39" t="str">
        <f>"Rent: "&amp;LOOKUP(A180-1, Months, TextMonths)&amp;" '"&amp;B180</f>
        <v>Rent: Oct '2020</v>
      </c>
      <c r="F180" s="36"/>
      <c r="G180" s="66">
        <v>3275</v>
      </c>
      <c r="H180" s="63">
        <f t="shared" si="3"/>
        <v>3275</v>
      </c>
    </row>
    <row r="181" spans="1:9" ht="12.75" customHeight="1" x14ac:dyDescent="0.25">
      <c r="A181" s="57">
        <f t="shared" si="0"/>
        <v>9</v>
      </c>
      <c r="B181" s="57">
        <f t="shared" si="1"/>
        <v>2020</v>
      </c>
      <c r="C181" s="37" t="str">
        <f t="shared" si="2"/>
        <v>Income: 1</v>
      </c>
      <c r="D181" s="28">
        <v>44104</v>
      </c>
      <c r="E181" s="29" t="s">
        <v>51</v>
      </c>
      <c r="F181" s="36">
        <v>1637.5</v>
      </c>
      <c r="G181" s="36"/>
      <c r="H181" s="63">
        <f t="shared" si="3"/>
        <v>1637.5</v>
      </c>
      <c r="I181" s="29"/>
    </row>
    <row r="182" spans="1:9" ht="12.75" customHeight="1" x14ac:dyDescent="0.25">
      <c r="A182" s="57">
        <f t="shared" si="0"/>
        <v>10</v>
      </c>
      <c r="B182" s="57">
        <f t="shared" si="1"/>
        <v>2020</v>
      </c>
      <c r="C182" s="37" t="str">
        <f t="shared" si="2"/>
        <v>Income: 1</v>
      </c>
      <c r="D182" s="28">
        <v>44105</v>
      </c>
      <c r="E182" s="29" t="s">
        <v>51</v>
      </c>
      <c r="F182" s="36">
        <v>1637.5</v>
      </c>
      <c r="G182" s="36"/>
      <c r="H182" s="63">
        <f t="shared" si="3"/>
        <v>0</v>
      </c>
      <c r="I182" s="29"/>
    </row>
    <row r="183" spans="1:9" ht="12.75" customHeight="1" x14ac:dyDescent="0.25">
      <c r="A183" s="57">
        <f t="shared" si="0"/>
        <v>11</v>
      </c>
      <c r="B183" s="57">
        <f t="shared" si="1"/>
        <v>2020</v>
      </c>
      <c r="C183" s="37" t="str">
        <f t="shared" si="2"/>
        <v>Rent: 1</v>
      </c>
      <c r="D183" s="40" t="str">
        <f>MOD(MONTH(D182), 12)+1 &amp; "/1/" &amp; IF(MONTH(D182)&gt;11, YEAR(D182)+1, YEAR(D182))</f>
        <v>11/1/2020</v>
      </c>
      <c r="E183" s="39" t="str">
        <f>"Rent: "&amp;LOOKUP(A183-1, Months, TextMonths)&amp;" '"&amp;B183</f>
        <v>Rent: Nov '2020</v>
      </c>
      <c r="F183" s="36"/>
      <c r="G183" s="66">
        <v>3275</v>
      </c>
      <c r="H183" s="63">
        <f t="shared" si="3"/>
        <v>3275</v>
      </c>
    </row>
    <row r="184" spans="1:9" ht="12.75" customHeight="1" x14ac:dyDescent="0.25">
      <c r="A184" s="57">
        <f t="shared" si="0"/>
        <v>11</v>
      </c>
      <c r="B184" s="57">
        <f t="shared" si="1"/>
        <v>2020</v>
      </c>
      <c r="C184" s="37" t="str">
        <f t="shared" si="2"/>
        <v>Income: 1</v>
      </c>
      <c r="D184" s="28">
        <v>44137</v>
      </c>
      <c r="E184" s="29" t="s">
        <v>51</v>
      </c>
      <c r="F184" s="36">
        <v>1637.5</v>
      </c>
      <c r="G184" s="36"/>
      <c r="H184" s="63">
        <f t="shared" si="3"/>
        <v>1637.5</v>
      </c>
      <c r="I184" s="29"/>
    </row>
    <row r="185" spans="1:9" ht="12.75" customHeight="1" x14ac:dyDescent="0.25">
      <c r="A185" s="57">
        <f t="shared" si="0"/>
        <v>11</v>
      </c>
      <c r="B185" s="57">
        <f t="shared" si="1"/>
        <v>2020</v>
      </c>
      <c r="C185" s="37" t="str">
        <f t="shared" si="2"/>
        <v>Income: 1</v>
      </c>
      <c r="D185" s="28">
        <v>44137</v>
      </c>
      <c r="E185" s="29" t="s">
        <v>51</v>
      </c>
      <c r="F185" s="36">
        <v>1637.5</v>
      </c>
      <c r="G185" s="36"/>
      <c r="H185" s="63">
        <f t="shared" si="3"/>
        <v>0</v>
      </c>
      <c r="I185" s="29"/>
    </row>
    <row r="186" spans="1:9" ht="12.75" customHeight="1" x14ac:dyDescent="0.25">
      <c r="A186" s="57">
        <f t="shared" si="0"/>
        <v>12</v>
      </c>
      <c r="B186" s="57">
        <f t="shared" si="1"/>
        <v>2020</v>
      </c>
      <c r="C186" s="37" t="str">
        <f t="shared" si="2"/>
        <v>Rent: 1</v>
      </c>
      <c r="D186" s="40" t="str">
        <f>MOD(MONTH(D185), 12)+1 &amp; "/1/" &amp; IF(MONTH(D185)&gt;11, YEAR(D185)+1, YEAR(D185))</f>
        <v>12/1/2020</v>
      </c>
      <c r="E186" s="39" t="str">
        <f>"Rent: "&amp;LOOKUP(A186-1, Months, TextMonths)&amp;" '"&amp;B186</f>
        <v>Rent: Dec '2020</v>
      </c>
      <c r="F186" s="36"/>
      <c r="G186" s="66">
        <v>3275</v>
      </c>
      <c r="H186" s="63">
        <f t="shared" si="3"/>
        <v>3275</v>
      </c>
    </row>
    <row r="187" spans="1:9" ht="12.75" customHeight="1" x14ac:dyDescent="0.25">
      <c r="A187" s="57">
        <f t="shared" si="0"/>
        <v>11</v>
      </c>
      <c r="B187" s="57">
        <f t="shared" si="1"/>
        <v>2020</v>
      </c>
      <c r="C187" s="37" t="str">
        <f t="shared" si="2"/>
        <v>Income: 1</v>
      </c>
      <c r="D187" s="28">
        <v>44165</v>
      </c>
      <c r="E187" s="29" t="s">
        <v>51</v>
      </c>
      <c r="F187" s="36">
        <v>1637.5</v>
      </c>
      <c r="G187" s="36"/>
      <c r="H187" s="63">
        <f t="shared" si="3"/>
        <v>1637.5</v>
      </c>
    </row>
    <row r="188" spans="1:9" ht="12.75" customHeight="1" x14ac:dyDescent="0.25">
      <c r="A188" s="57">
        <f t="shared" si="0"/>
        <v>12</v>
      </c>
      <c r="B188" s="57">
        <f t="shared" si="1"/>
        <v>2020</v>
      </c>
      <c r="C188" s="37" t="str">
        <f t="shared" si="2"/>
        <v>Income: 1</v>
      </c>
      <c r="D188" s="28">
        <v>44166</v>
      </c>
      <c r="E188" s="29" t="s">
        <v>51</v>
      </c>
      <c r="F188" s="36">
        <v>1637.5</v>
      </c>
      <c r="G188" s="36"/>
      <c r="H188" s="63">
        <f t="shared" si="3"/>
        <v>0</v>
      </c>
    </row>
    <row r="189" spans="1:9" ht="12.75" customHeight="1" x14ac:dyDescent="0.25">
      <c r="A189" s="57">
        <f t="shared" si="0"/>
        <v>1</v>
      </c>
      <c r="B189" s="57">
        <f t="shared" si="1"/>
        <v>2021</v>
      </c>
      <c r="C189" s="37" t="str">
        <f t="shared" si="2"/>
        <v>Rent: 1</v>
      </c>
      <c r="D189" s="40" t="str">
        <f>MOD(MONTH(D188), 12)+1 &amp; "/1/" &amp; IF(MONTH(D188)&gt;11, YEAR(D188)+1, YEAR(D188))</f>
        <v>1/1/2021</v>
      </c>
      <c r="E189" s="39" t="str">
        <f>"Rent: "&amp;LOOKUP(A189-1, Months, TextMonths)&amp;" '"&amp;B189</f>
        <v>Rent: Jan '2021</v>
      </c>
      <c r="F189" s="36"/>
      <c r="G189" s="66">
        <v>3275</v>
      </c>
      <c r="H189" s="63">
        <f t="shared" si="3"/>
        <v>3275</v>
      </c>
    </row>
    <row r="190" spans="1:9" ht="12.75" customHeight="1" x14ac:dyDescent="0.25">
      <c r="A190" s="57">
        <f t="shared" si="0"/>
        <v>12</v>
      </c>
      <c r="B190" s="57">
        <f t="shared" si="1"/>
        <v>2020</v>
      </c>
      <c r="C190" s="37" t="str">
        <f t="shared" si="2"/>
        <v>Income: 1</v>
      </c>
      <c r="D190" s="28">
        <v>44195</v>
      </c>
      <c r="E190" s="29" t="s">
        <v>51</v>
      </c>
      <c r="F190" s="36">
        <v>1637.5</v>
      </c>
      <c r="G190" s="36"/>
      <c r="H190" s="63">
        <f t="shared" si="3"/>
        <v>1637.5</v>
      </c>
      <c r="I190" s="30"/>
    </row>
    <row r="191" spans="1:9" ht="12.75" customHeight="1" x14ac:dyDescent="0.25">
      <c r="A191" s="57">
        <f t="shared" si="0"/>
        <v>12</v>
      </c>
      <c r="B191" s="57">
        <f t="shared" si="1"/>
        <v>2020</v>
      </c>
      <c r="C191" s="37" t="str">
        <f t="shared" si="2"/>
        <v>Income: 1</v>
      </c>
      <c r="D191" s="28">
        <v>44196</v>
      </c>
      <c r="E191" s="29" t="s">
        <v>51</v>
      </c>
      <c r="F191" s="36">
        <v>1637.5</v>
      </c>
      <c r="G191" s="36"/>
      <c r="H191" s="63">
        <f t="shared" si="3"/>
        <v>0</v>
      </c>
      <c r="I191" s="30"/>
    </row>
    <row r="192" spans="1:9" ht="12.75" customHeight="1" x14ac:dyDescent="0.25">
      <c r="A192" s="57">
        <f t="shared" si="0"/>
        <v>2</v>
      </c>
      <c r="B192" s="57">
        <f t="shared" si="1"/>
        <v>2021</v>
      </c>
      <c r="C192" s="37" t="str">
        <f t="shared" si="2"/>
        <v>Rent: 1</v>
      </c>
      <c r="D192" s="40" t="str">
        <f>MOD(MONTH(D191), 12)+2 &amp; "/1/" &amp; IF(MONTH(D191)&gt;11, YEAR(D191)+1, YEAR(D191))</f>
        <v>2/1/2021</v>
      </c>
      <c r="E192" s="39" t="str">
        <f>"Rent: "&amp;LOOKUP(A192-1, Months, TextMonths)&amp;" '"&amp;B192</f>
        <v>Rent: Feb '2021</v>
      </c>
      <c r="F192" s="36"/>
      <c r="G192" s="66">
        <v>3275</v>
      </c>
      <c r="H192" s="63">
        <f t="shared" si="3"/>
        <v>3275</v>
      </c>
    </row>
    <row r="193" spans="1:9" ht="12.75" customHeight="1" x14ac:dyDescent="0.25">
      <c r="A193" s="57">
        <f t="shared" si="0"/>
        <v>2</v>
      </c>
      <c r="B193" s="57">
        <f t="shared" si="1"/>
        <v>2021</v>
      </c>
      <c r="C193" s="37" t="str">
        <f t="shared" si="2"/>
        <v>Income: 1</v>
      </c>
      <c r="D193" s="28">
        <v>44228</v>
      </c>
      <c r="E193" s="29" t="s">
        <v>51</v>
      </c>
      <c r="F193" s="36">
        <v>1637.5</v>
      </c>
      <c r="G193" s="36"/>
      <c r="H193" s="63">
        <f t="shared" si="3"/>
        <v>1637.5</v>
      </c>
      <c r="I193" s="30"/>
    </row>
    <row r="194" spans="1:9" ht="12.75" customHeight="1" x14ac:dyDescent="0.25">
      <c r="A194" s="57">
        <f t="shared" si="0"/>
        <v>2</v>
      </c>
      <c r="B194" s="57">
        <f t="shared" si="1"/>
        <v>2021</v>
      </c>
      <c r="C194" s="37" t="str">
        <f t="shared" si="2"/>
        <v>Income: 1</v>
      </c>
      <c r="D194" s="28">
        <v>44228</v>
      </c>
      <c r="E194" s="29" t="s">
        <v>51</v>
      </c>
      <c r="F194" s="36">
        <v>1637.5</v>
      </c>
      <c r="G194" s="36"/>
      <c r="H194" s="63">
        <f t="shared" si="3"/>
        <v>0</v>
      </c>
      <c r="I194" s="30"/>
    </row>
    <row r="195" spans="1:9" ht="12.75" customHeight="1" x14ac:dyDescent="0.25">
      <c r="A195" s="57">
        <f t="shared" si="0"/>
        <v>3</v>
      </c>
      <c r="B195" s="57">
        <f t="shared" si="1"/>
        <v>2021</v>
      </c>
      <c r="C195" s="37" t="str">
        <f t="shared" si="2"/>
        <v>Rent: 1</v>
      </c>
      <c r="D195" s="40" t="str">
        <f>MOD(MONTH(D194), 12)+1 &amp; "/1/" &amp; IF(MONTH(D194)&gt;11, YEAR(D194)+1, YEAR(D194))</f>
        <v>3/1/2021</v>
      </c>
      <c r="E195" s="39" t="str">
        <f>"Rent: "&amp;LOOKUP(A195-1, Months, TextMonths)&amp;" '"&amp;B195</f>
        <v>Rent: Mar '2021</v>
      </c>
      <c r="F195" s="36"/>
      <c r="G195" s="66">
        <v>3275</v>
      </c>
      <c r="H195" s="63">
        <f t="shared" si="3"/>
        <v>3275</v>
      </c>
    </row>
    <row r="196" spans="1:9" ht="12.75" customHeight="1" x14ac:dyDescent="0.25">
      <c r="A196" s="57">
        <f t="shared" si="0"/>
        <v>3</v>
      </c>
      <c r="B196" s="57">
        <f t="shared" si="1"/>
        <v>2021</v>
      </c>
      <c r="C196" s="37" t="str">
        <f t="shared" si="2"/>
        <v>Income: 1</v>
      </c>
      <c r="D196" s="28">
        <v>44256</v>
      </c>
      <c r="E196" s="29" t="s">
        <v>51</v>
      </c>
      <c r="F196" s="36">
        <v>1637.5</v>
      </c>
      <c r="G196" s="36"/>
      <c r="H196" s="63">
        <f t="shared" si="3"/>
        <v>1637.5</v>
      </c>
      <c r="I196" s="30"/>
    </row>
    <row r="197" spans="1:9" ht="12.75" customHeight="1" x14ac:dyDescent="0.25">
      <c r="A197" s="57">
        <f t="shared" si="0"/>
        <v>3</v>
      </c>
      <c r="B197" s="57">
        <f t="shared" si="1"/>
        <v>2021</v>
      </c>
      <c r="C197" s="37" t="str">
        <f t="shared" si="2"/>
        <v>Income: 1</v>
      </c>
      <c r="D197" s="28">
        <v>44256</v>
      </c>
      <c r="E197" s="29" t="s">
        <v>51</v>
      </c>
      <c r="F197" s="36">
        <v>1637.5</v>
      </c>
      <c r="G197" s="36"/>
      <c r="H197" s="63">
        <f t="shared" si="3"/>
        <v>0</v>
      </c>
      <c r="I197" s="30"/>
    </row>
    <row r="198" spans="1:9" ht="12.75" customHeight="1" x14ac:dyDescent="0.25">
      <c r="A198" s="57">
        <f t="shared" si="0"/>
        <v>4</v>
      </c>
      <c r="B198" s="57">
        <f t="shared" si="1"/>
        <v>2021</v>
      </c>
      <c r="C198" s="37" t="str">
        <f t="shared" si="2"/>
        <v>Rent: 1</v>
      </c>
      <c r="D198" s="40" t="str">
        <f>MOD(MONTH(D197), 12)+1 &amp; "/1/" &amp; IF(MONTH(D197)&gt;11, YEAR(D197)+1, YEAR(D197))</f>
        <v>4/1/2021</v>
      </c>
      <c r="E198" s="39" t="str">
        <f>"Rent: "&amp;LOOKUP(A198-1, Months, TextMonths)&amp;" '"&amp;B198</f>
        <v>Rent: Apr '2021</v>
      </c>
      <c r="F198" s="36"/>
      <c r="G198" s="66">
        <v>3275</v>
      </c>
      <c r="H198" s="63">
        <f t="shared" si="3"/>
        <v>3275</v>
      </c>
    </row>
    <row r="199" spans="1:9" ht="12.75" customHeight="1" x14ac:dyDescent="0.25">
      <c r="A199" s="57">
        <f t="shared" si="0"/>
        <v>3</v>
      </c>
      <c r="B199" s="57">
        <f t="shared" si="1"/>
        <v>2021</v>
      </c>
      <c r="C199" s="37" t="str">
        <f t="shared" si="2"/>
        <v>Income: 1</v>
      </c>
      <c r="D199" s="28">
        <v>44286</v>
      </c>
      <c r="E199" s="29" t="s">
        <v>51</v>
      </c>
      <c r="F199" s="36">
        <v>1637.5</v>
      </c>
      <c r="G199" s="36"/>
      <c r="H199" s="63">
        <f t="shared" si="3"/>
        <v>1637.5</v>
      </c>
      <c r="I199" s="30"/>
    </row>
    <row r="200" spans="1:9" ht="12.75" customHeight="1" x14ac:dyDescent="0.25">
      <c r="A200" s="57">
        <f t="shared" si="0"/>
        <v>4</v>
      </c>
      <c r="B200" s="57">
        <f t="shared" si="1"/>
        <v>2021</v>
      </c>
      <c r="C200" s="37" t="str">
        <f t="shared" si="2"/>
        <v>Income: 1</v>
      </c>
      <c r="D200" s="28">
        <v>44287</v>
      </c>
      <c r="E200" s="29" t="s">
        <v>51</v>
      </c>
      <c r="F200" s="36">
        <v>1637.5</v>
      </c>
      <c r="G200" s="36"/>
      <c r="H200" s="63">
        <f t="shared" si="3"/>
        <v>0</v>
      </c>
      <c r="I200" s="30"/>
    </row>
    <row r="201" spans="1:9" ht="12.75" customHeight="1" x14ac:dyDescent="0.25">
      <c r="A201" s="57">
        <f t="shared" si="0"/>
        <v>5</v>
      </c>
      <c r="B201" s="57">
        <f t="shared" si="1"/>
        <v>2021</v>
      </c>
      <c r="C201" s="37" t="str">
        <f t="shared" si="2"/>
        <v>Rent: 1</v>
      </c>
      <c r="D201" s="40" t="str">
        <f>MOD(MONTH(D200), 12)+1 &amp; "/1/" &amp; IF(MONTH(D200)&gt;11, YEAR(D200)+1, YEAR(D200))</f>
        <v>5/1/2021</v>
      </c>
      <c r="E201" s="39" t="str">
        <f>"Rent: "&amp;LOOKUP(A201-1, Months, TextMonths)&amp;" '"&amp;B201</f>
        <v>Rent: May '2021</v>
      </c>
      <c r="F201" s="36"/>
      <c r="G201" s="66">
        <v>3275</v>
      </c>
      <c r="H201" s="63">
        <f t="shared" si="3"/>
        <v>3275</v>
      </c>
    </row>
    <row r="202" spans="1:9" ht="12.75" customHeight="1" x14ac:dyDescent="0.25">
      <c r="A202" s="57">
        <f t="shared" si="0"/>
        <v>4</v>
      </c>
      <c r="B202" s="57">
        <f t="shared" si="1"/>
        <v>2021</v>
      </c>
      <c r="C202" s="37" t="str">
        <f t="shared" si="2"/>
        <v>Income: 1</v>
      </c>
      <c r="D202" s="28">
        <v>44316</v>
      </c>
      <c r="E202" s="29" t="s">
        <v>51</v>
      </c>
      <c r="F202" s="36">
        <v>1637.5</v>
      </c>
      <c r="G202" s="36"/>
      <c r="H202" s="63">
        <f t="shared" si="3"/>
        <v>1637.5</v>
      </c>
      <c r="I202" s="30"/>
    </row>
    <row r="203" spans="1:9" ht="12.75" customHeight="1" x14ac:dyDescent="0.25">
      <c r="A203" s="57">
        <f t="shared" si="0"/>
        <v>5</v>
      </c>
      <c r="B203" s="57">
        <f t="shared" si="1"/>
        <v>2021</v>
      </c>
      <c r="C203" s="37" t="str">
        <f t="shared" si="2"/>
        <v>Income: 1</v>
      </c>
      <c r="D203" s="28">
        <v>44319</v>
      </c>
      <c r="E203" s="29" t="s">
        <v>51</v>
      </c>
      <c r="F203" s="36">
        <v>1637.5</v>
      </c>
      <c r="G203" s="36"/>
      <c r="H203" s="63">
        <f t="shared" si="3"/>
        <v>0</v>
      </c>
      <c r="I203" s="30"/>
    </row>
    <row r="204" spans="1:9" ht="12.75" customHeight="1" x14ac:dyDescent="0.25">
      <c r="A204" s="57">
        <f t="shared" si="0"/>
        <v>6</v>
      </c>
      <c r="B204" s="57">
        <f t="shared" si="1"/>
        <v>2021</v>
      </c>
      <c r="C204" s="37" t="str">
        <f t="shared" si="2"/>
        <v>Rent: 1</v>
      </c>
      <c r="D204" s="40" t="str">
        <f>MOD(MONTH(D203), 12)+1 &amp; "/1/" &amp; IF(MONTH(D203)&gt;11, YEAR(D203)+1, YEAR(D203))</f>
        <v>6/1/2021</v>
      </c>
      <c r="E204" s="39" t="str">
        <f>"Rent: "&amp;LOOKUP(A204-1, Months, TextMonths)&amp;" '"&amp;B204</f>
        <v>Rent: Jun '2021</v>
      </c>
      <c r="F204" s="36"/>
      <c r="G204" s="66">
        <v>3275</v>
      </c>
      <c r="H204" s="63">
        <f t="shared" si="3"/>
        <v>3275</v>
      </c>
    </row>
    <row r="205" spans="1:9" ht="12.75" customHeight="1" x14ac:dyDescent="0.25">
      <c r="A205" s="57">
        <f t="shared" si="0"/>
        <v>6</v>
      </c>
      <c r="B205" s="57">
        <f t="shared" si="1"/>
        <v>2021</v>
      </c>
      <c r="C205" s="37" t="str">
        <f t="shared" si="2"/>
        <v>Income: 1</v>
      </c>
      <c r="D205" s="28">
        <v>44348</v>
      </c>
      <c r="E205" s="29" t="s">
        <v>51</v>
      </c>
      <c r="F205" s="36">
        <v>1637.5</v>
      </c>
      <c r="G205" s="36"/>
      <c r="H205" s="63">
        <f t="shared" si="3"/>
        <v>1637.5</v>
      </c>
      <c r="I205" s="30"/>
    </row>
    <row r="206" spans="1:9" ht="12.75" customHeight="1" x14ac:dyDescent="0.25">
      <c r="A206" s="57">
        <f t="shared" si="0"/>
        <v>6</v>
      </c>
      <c r="B206" s="57">
        <f t="shared" si="1"/>
        <v>2021</v>
      </c>
      <c r="C206" s="37" t="str">
        <f t="shared" si="2"/>
        <v>Income: 1</v>
      </c>
      <c r="D206" s="28">
        <v>44348</v>
      </c>
      <c r="E206" s="29" t="s">
        <v>51</v>
      </c>
      <c r="F206" s="36">
        <v>1637.5</v>
      </c>
      <c r="G206" s="36"/>
      <c r="H206" s="63">
        <f t="shared" si="3"/>
        <v>0</v>
      </c>
      <c r="I206" s="30"/>
    </row>
    <row r="207" spans="1:9" ht="12.75" customHeight="1" x14ac:dyDescent="0.25">
      <c r="A207" s="57">
        <f t="shared" si="0"/>
        <v>7</v>
      </c>
      <c r="B207" s="57">
        <f t="shared" si="1"/>
        <v>2021</v>
      </c>
      <c r="C207" s="37" t="str">
        <f t="shared" si="2"/>
        <v>Rent: 1</v>
      </c>
      <c r="D207" s="40" t="str">
        <f>MOD(MONTH(D206), 12)+1 &amp; "/1/" &amp; IF(MONTH(D206)&gt;11, YEAR(D206)+1, YEAR(D206))</f>
        <v>7/1/2021</v>
      </c>
      <c r="E207" s="39" t="str">
        <f>"Rent: "&amp;LOOKUP(A207-1, Months, TextMonths)&amp;" '"&amp;B207</f>
        <v>Rent: Jul '2021</v>
      </c>
      <c r="F207" s="36"/>
      <c r="G207" s="66">
        <v>3275</v>
      </c>
      <c r="H207" s="63">
        <f t="shared" si="3"/>
        <v>3275</v>
      </c>
    </row>
    <row r="208" spans="1:9" ht="12.75" customHeight="1" x14ac:dyDescent="0.25">
      <c r="A208" s="57">
        <f t="shared" si="0"/>
        <v>6</v>
      </c>
      <c r="B208" s="57">
        <f t="shared" si="1"/>
        <v>2021</v>
      </c>
      <c r="C208" s="37" t="str">
        <f t="shared" si="2"/>
        <v>Income: 1</v>
      </c>
      <c r="D208" s="28">
        <v>44377</v>
      </c>
      <c r="E208" s="29" t="s">
        <v>51</v>
      </c>
      <c r="F208" s="36">
        <v>1637.5</v>
      </c>
      <c r="G208" s="36"/>
      <c r="H208" s="63">
        <f t="shared" si="3"/>
        <v>1637.5</v>
      </c>
    </row>
    <row r="209" spans="1:8" ht="12.75" customHeight="1" x14ac:dyDescent="0.25">
      <c r="A209" s="57">
        <f t="shared" si="0"/>
        <v>7</v>
      </c>
      <c r="B209" s="57">
        <f t="shared" si="1"/>
        <v>2021</v>
      </c>
      <c r="C209" s="37" t="str">
        <f t="shared" si="2"/>
        <v>Income: 1</v>
      </c>
      <c r="D209" s="28">
        <v>44379</v>
      </c>
      <c r="E209" s="29" t="s">
        <v>51</v>
      </c>
      <c r="F209" s="36">
        <v>1637.5</v>
      </c>
      <c r="G209" s="36"/>
      <c r="H209" s="63">
        <f t="shared" si="3"/>
        <v>0</v>
      </c>
    </row>
    <row r="210" spans="1:8" ht="12.75" customHeight="1" x14ac:dyDescent="0.25">
      <c r="A210" s="57">
        <f t="shared" si="0"/>
        <v>8</v>
      </c>
      <c r="B210" s="57">
        <f t="shared" si="1"/>
        <v>2021</v>
      </c>
      <c r="C210" s="37" t="str">
        <f t="shared" si="2"/>
        <v>Rent: 1</v>
      </c>
      <c r="D210" s="40" t="str">
        <f>MOD(MONTH(D209), 12)+1 &amp; "/1/" &amp; IF(MONTH(D209)&gt;11, YEAR(D209)+1, YEAR(D209))</f>
        <v>8/1/2021</v>
      </c>
      <c r="E210" s="39" t="str">
        <f>"Rent: "&amp;LOOKUP(A210-1, Months, TextMonths)&amp;" '"&amp;B210</f>
        <v>Rent: Aug '2021</v>
      </c>
      <c r="F210" s="36"/>
      <c r="G210" s="66">
        <v>3275</v>
      </c>
      <c r="H210" s="63">
        <f t="shared" si="3"/>
        <v>3275</v>
      </c>
    </row>
    <row r="211" spans="1:8" ht="12.75" customHeight="1" x14ac:dyDescent="0.25">
      <c r="A211" s="57">
        <f t="shared" si="0"/>
        <v>8</v>
      </c>
      <c r="B211" s="57">
        <f t="shared" si="1"/>
        <v>2021</v>
      </c>
      <c r="C211" s="37" t="str">
        <f t="shared" si="2"/>
        <v>Income: 1</v>
      </c>
      <c r="D211" s="28">
        <v>44410</v>
      </c>
      <c r="E211" s="29" t="s">
        <v>51</v>
      </c>
      <c r="F211" s="36">
        <v>1637.5</v>
      </c>
      <c r="G211" s="36"/>
      <c r="H211" s="63">
        <f t="shared" si="3"/>
        <v>1637.5</v>
      </c>
    </row>
    <row r="212" spans="1:8" ht="12.75" customHeight="1" x14ac:dyDescent="0.25">
      <c r="A212" s="57">
        <f t="shared" si="0"/>
        <v>8</v>
      </c>
      <c r="B212" s="57">
        <f t="shared" si="1"/>
        <v>2021</v>
      </c>
      <c r="C212" s="37" t="str">
        <f t="shared" si="2"/>
        <v>Income: 1</v>
      </c>
      <c r="D212" s="28">
        <v>44410</v>
      </c>
      <c r="E212" s="29" t="s">
        <v>51</v>
      </c>
      <c r="F212" s="36">
        <v>1637.5</v>
      </c>
      <c r="G212" s="36"/>
      <c r="H212" s="63">
        <f t="shared" si="3"/>
        <v>0</v>
      </c>
    </row>
    <row r="213" spans="1:8" ht="12.75" customHeight="1" x14ac:dyDescent="0.25">
      <c r="A213" s="57">
        <f t="shared" si="0"/>
        <v>9</v>
      </c>
      <c r="B213" s="57">
        <f t="shared" si="1"/>
        <v>2021</v>
      </c>
      <c r="C213" s="37" t="str">
        <f t="shared" si="2"/>
        <v>Rent: 1</v>
      </c>
      <c r="D213" s="40" t="str">
        <f>MOD(MONTH(D212), 12)+1 &amp; "/1/" &amp; IF(MONTH(D212)&gt;11, YEAR(D212)+1, YEAR(D212))</f>
        <v>9/1/2021</v>
      </c>
      <c r="E213" s="39" t="str">
        <f>"Rent: "&amp;LOOKUP(A213-1, Months, TextMonths)&amp;" '"&amp;B213</f>
        <v>Rent: Sep '2021</v>
      </c>
      <c r="F213" s="36"/>
      <c r="G213" s="66">
        <v>3275</v>
      </c>
      <c r="H213" s="63">
        <f t="shared" si="3"/>
        <v>3275</v>
      </c>
    </row>
    <row r="214" spans="1:8" ht="12.75" customHeight="1" x14ac:dyDescent="0.25">
      <c r="A214" s="57">
        <f t="shared" si="0"/>
        <v>8</v>
      </c>
      <c r="B214" s="57">
        <f t="shared" si="1"/>
        <v>2021</v>
      </c>
      <c r="C214" s="37" t="str">
        <f t="shared" si="2"/>
        <v>Income: 1</v>
      </c>
      <c r="D214" s="28">
        <v>44439</v>
      </c>
      <c r="E214" s="29" t="s">
        <v>51</v>
      </c>
      <c r="F214" s="36">
        <v>1637.5</v>
      </c>
      <c r="G214" s="36"/>
      <c r="H214" s="63">
        <f t="shared" si="3"/>
        <v>1637.5</v>
      </c>
    </row>
    <row r="215" spans="1:8" ht="12.75" customHeight="1" x14ac:dyDescent="0.25">
      <c r="A215" s="57">
        <f t="shared" si="0"/>
        <v>9</v>
      </c>
      <c r="B215" s="57">
        <f t="shared" si="1"/>
        <v>2021</v>
      </c>
      <c r="C215" s="37" t="str">
        <f t="shared" si="2"/>
        <v>Income: 1</v>
      </c>
      <c r="D215" s="28">
        <v>44440</v>
      </c>
      <c r="E215" s="29" t="s">
        <v>51</v>
      </c>
      <c r="F215" s="36">
        <v>1637.5</v>
      </c>
      <c r="G215" s="36"/>
      <c r="H215" s="63">
        <f t="shared" si="3"/>
        <v>0</v>
      </c>
    </row>
    <row r="216" spans="1:8" ht="12.75" customHeight="1" x14ac:dyDescent="0.25">
      <c r="A216" s="57">
        <f t="shared" si="0"/>
        <v>10</v>
      </c>
      <c r="B216" s="57">
        <f t="shared" si="1"/>
        <v>2021</v>
      </c>
      <c r="C216" s="37" t="str">
        <f t="shared" si="2"/>
        <v>Rent: 1</v>
      </c>
      <c r="D216" s="40" t="str">
        <f>MOD(MONTH(D215), 12)+1 &amp; "/1/" &amp; IF(MONTH(D215)&gt;11, YEAR(D215)+1, YEAR(D215))</f>
        <v>10/1/2021</v>
      </c>
      <c r="E216" s="39" t="str">
        <f>"Rent: "&amp;LOOKUP(A216-1, Months, TextMonths)&amp;" '"&amp;B216</f>
        <v>Rent: Oct '2021</v>
      </c>
      <c r="F216" s="36"/>
      <c r="G216" s="66">
        <v>3275</v>
      </c>
      <c r="H216" s="63">
        <f t="shared" si="3"/>
        <v>3275</v>
      </c>
    </row>
    <row r="217" spans="1:8" ht="12.75" customHeight="1" x14ac:dyDescent="0.25">
      <c r="A217" s="57">
        <f t="shared" si="0"/>
        <v>9</v>
      </c>
      <c r="B217" s="57">
        <f t="shared" si="1"/>
        <v>2021</v>
      </c>
      <c r="C217" s="37" t="str">
        <f t="shared" si="2"/>
        <v>Income: 1</v>
      </c>
      <c r="D217" s="28">
        <v>44469</v>
      </c>
      <c r="E217" s="29" t="s">
        <v>51</v>
      </c>
      <c r="F217" s="36">
        <v>1637.5</v>
      </c>
      <c r="G217" s="36"/>
      <c r="H217" s="63">
        <f t="shared" si="3"/>
        <v>1637.5</v>
      </c>
    </row>
    <row r="218" spans="1:8" ht="12.75" customHeight="1" x14ac:dyDescent="0.25">
      <c r="A218" s="57">
        <f t="shared" si="0"/>
        <v>10</v>
      </c>
      <c r="B218" s="57">
        <f t="shared" si="1"/>
        <v>2021</v>
      </c>
      <c r="C218" s="37" t="str">
        <f t="shared" si="2"/>
        <v>Income: 1</v>
      </c>
      <c r="D218" s="28">
        <v>44470</v>
      </c>
      <c r="E218" s="29" t="s">
        <v>51</v>
      </c>
      <c r="F218" s="36">
        <v>1637.5</v>
      </c>
      <c r="G218" s="36"/>
      <c r="H218" s="63">
        <f t="shared" si="3"/>
        <v>0</v>
      </c>
    </row>
    <row r="219" spans="1:8" ht="12.75" customHeight="1" x14ac:dyDescent="0.25">
      <c r="A219" s="57">
        <f t="shared" si="0"/>
        <v>11</v>
      </c>
      <c r="B219" s="57">
        <f t="shared" si="1"/>
        <v>2021</v>
      </c>
      <c r="C219" s="37" t="str">
        <f t="shared" si="2"/>
        <v>Rent: 1</v>
      </c>
      <c r="D219" s="40" t="str">
        <f>MOD(MONTH(D218), 12)+1 &amp; "/1/" &amp; IF(MONTH(D218)&gt;11, YEAR(D218)+1, YEAR(D218))</f>
        <v>11/1/2021</v>
      </c>
      <c r="E219" s="39" t="str">
        <f>"Rent: "&amp;LOOKUP(A219-1, Months, TextMonths)&amp;" '"&amp;B219</f>
        <v>Rent: Nov '2021</v>
      </c>
      <c r="F219" s="36"/>
      <c r="G219" s="66">
        <v>3275</v>
      </c>
      <c r="H219" s="63">
        <f t="shared" si="3"/>
        <v>3275</v>
      </c>
    </row>
    <row r="220" spans="1:8" ht="12.75" customHeight="1" x14ac:dyDescent="0.25">
      <c r="A220" s="57">
        <f t="shared" si="0"/>
        <v>11</v>
      </c>
      <c r="B220" s="57">
        <f t="shared" si="1"/>
        <v>2021</v>
      </c>
      <c r="C220" s="37" t="str">
        <f t="shared" si="2"/>
        <v>Income: 1</v>
      </c>
      <c r="D220" s="28">
        <v>44501</v>
      </c>
      <c r="E220" s="29" t="s">
        <v>51</v>
      </c>
      <c r="F220" s="36">
        <v>1637.5</v>
      </c>
      <c r="G220" s="36"/>
      <c r="H220" s="63">
        <f t="shared" si="3"/>
        <v>1637.5</v>
      </c>
    </row>
    <row r="221" spans="1:8" ht="12.75" customHeight="1" x14ac:dyDescent="0.25">
      <c r="A221" s="57">
        <f t="shared" si="0"/>
        <v>11</v>
      </c>
      <c r="B221" s="57">
        <f t="shared" si="1"/>
        <v>2021</v>
      </c>
      <c r="C221" s="37" t="str">
        <f t="shared" si="2"/>
        <v>Income: 1</v>
      </c>
      <c r="D221" s="28">
        <v>44502</v>
      </c>
      <c r="E221" s="29" t="s">
        <v>51</v>
      </c>
      <c r="F221" s="36">
        <v>1637.5</v>
      </c>
      <c r="G221" s="36"/>
      <c r="H221" s="63">
        <f t="shared" si="3"/>
        <v>0</v>
      </c>
    </row>
    <row r="222" spans="1:8" ht="12.75" customHeight="1" x14ac:dyDescent="0.25">
      <c r="A222" s="57">
        <f t="shared" si="0"/>
        <v>12</v>
      </c>
      <c r="B222" s="57">
        <f t="shared" si="1"/>
        <v>2021</v>
      </c>
      <c r="C222" s="37" t="str">
        <f t="shared" si="2"/>
        <v>Rent: 1</v>
      </c>
      <c r="D222" s="40" t="str">
        <f>MOD(MONTH(D221), 12)+1 &amp; "/1/" &amp; IF(MONTH(D221)&gt;11, YEAR(D221)+1, YEAR(D221))</f>
        <v>12/1/2021</v>
      </c>
      <c r="E222" s="39" t="str">
        <f>"Rent: "&amp;LOOKUP(A222-1, Months, TextMonths)&amp;" '"&amp;B222</f>
        <v>Rent: Dec '2021</v>
      </c>
      <c r="F222" s="36"/>
      <c r="G222" s="66">
        <v>3275</v>
      </c>
      <c r="H222" s="63">
        <f t="shared" si="3"/>
        <v>3275</v>
      </c>
    </row>
    <row r="223" spans="1:8" ht="12.75" customHeight="1" x14ac:dyDescent="0.25">
      <c r="A223" s="57">
        <f t="shared" si="0"/>
        <v>11</v>
      </c>
      <c r="B223" s="57">
        <f t="shared" si="1"/>
        <v>2021</v>
      </c>
      <c r="C223" s="37" t="str">
        <f t="shared" si="2"/>
        <v>Income: 1</v>
      </c>
      <c r="D223" s="28">
        <v>44530</v>
      </c>
      <c r="E223" s="29" t="s">
        <v>51</v>
      </c>
      <c r="F223" s="36">
        <v>1637.5</v>
      </c>
      <c r="G223" s="36"/>
      <c r="H223" s="63">
        <f t="shared" si="3"/>
        <v>1637.5</v>
      </c>
    </row>
    <row r="224" spans="1:8" ht="12.75" customHeight="1" x14ac:dyDescent="0.25">
      <c r="A224" s="57">
        <f t="shared" si="0"/>
        <v>12</v>
      </c>
      <c r="B224" s="57">
        <f t="shared" si="1"/>
        <v>2021</v>
      </c>
      <c r="C224" s="37" t="str">
        <f t="shared" si="2"/>
        <v>Income: 1</v>
      </c>
      <c r="D224" s="28">
        <v>44531</v>
      </c>
      <c r="E224" s="29" t="s">
        <v>51</v>
      </c>
      <c r="F224" s="36">
        <v>1637.5</v>
      </c>
      <c r="G224" s="36"/>
      <c r="H224" s="63">
        <f t="shared" si="3"/>
        <v>0</v>
      </c>
    </row>
    <row r="225" spans="1:8" ht="12.75" customHeight="1" x14ac:dyDescent="0.25">
      <c r="A225" s="57">
        <f t="shared" si="0"/>
        <v>1</v>
      </c>
      <c r="B225" s="57">
        <f t="shared" si="1"/>
        <v>2022</v>
      </c>
      <c r="C225" s="37" t="str">
        <f t="shared" si="2"/>
        <v>Rent: 1</v>
      </c>
      <c r="D225" s="40" t="str">
        <f>MOD(MONTH(D224), 12)+1 &amp; "/1/" &amp; IF(MONTH(D224)&gt;11, YEAR(D224)+1, YEAR(D224))</f>
        <v>1/1/2022</v>
      </c>
      <c r="E225" s="39" t="str">
        <f>"Rent: "&amp;LOOKUP(A225-1, Months, TextMonths)&amp;" '"&amp;B225</f>
        <v>Rent: Jan '2022</v>
      </c>
      <c r="F225" s="36"/>
      <c r="G225" s="66">
        <v>3275</v>
      </c>
      <c r="H225" s="63">
        <f t="shared" si="3"/>
        <v>3275</v>
      </c>
    </row>
    <row r="226" spans="1:8" ht="12.75" customHeight="1" x14ac:dyDescent="0.25">
      <c r="A226" s="57">
        <f t="shared" si="0"/>
        <v>12</v>
      </c>
      <c r="B226" s="57">
        <f t="shared" si="1"/>
        <v>2021</v>
      </c>
      <c r="C226" s="37" t="str">
        <f t="shared" si="2"/>
        <v>Income: 1</v>
      </c>
      <c r="D226" s="28">
        <v>44554</v>
      </c>
      <c r="E226" s="29" t="s">
        <v>51</v>
      </c>
      <c r="F226" s="36">
        <v>1637.5</v>
      </c>
      <c r="G226" s="36"/>
      <c r="H226" s="63">
        <f t="shared" si="3"/>
        <v>1637.5</v>
      </c>
    </row>
    <row r="227" spans="1:8" ht="12.75" customHeight="1" x14ac:dyDescent="0.25">
      <c r="A227" s="57">
        <f t="shared" si="0"/>
        <v>12</v>
      </c>
      <c r="B227" s="57">
        <f t="shared" si="1"/>
        <v>2021</v>
      </c>
      <c r="C227" s="37" t="str">
        <f t="shared" si="2"/>
        <v>Income: 1</v>
      </c>
      <c r="D227" s="28">
        <v>44558</v>
      </c>
      <c r="E227" s="29" t="s">
        <v>51</v>
      </c>
      <c r="F227" s="36">
        <v>1637.5</v>
      </c>
      <c r="G227" s="36"/>
      <c r="H227" s="63">
        <f t="shared" si="3"/>
        <v>0</v>
      </c>
    </row>
    <row r="228" spans="1:8" ht="12.75" customHeight="1" x14ac:dyDescent="0.25">
      <c r="A228" s="57">
        <f t="shared" si="0"/>
        <v>2</v>
      </c>
      <c r="B228" s="57">
        <f t="shared" si="1"/>
        <v>2022</v>
      </c>
      <c r="C228" s="37" t="str">
        <f t="shared" si="2"/>
        <v>Rent: 1</v>
      </c>
      <c r="D228" s="40" t="str">
        <f>MOD(MONTH(D227), 12)+2 &amp; "/1/" &amp; IF(MONTH(D227)&gt;11, YEAR(D227)+1, YEAR(D227))</f>
        <v>2/1/2022</v>
      </c>
      <c r="E228" s="39" t="str">
        <f>"Rent: "&amp;LOOKUP(A228-1, Months, TextMonths)&amp;" '"&amp;B228</f>
        <v>Rent: Feb '2022</v>
      </c>
      <c r="F228" s="36"/>
      <c r="G228" s="66">
        <v>3275</v>
      </c>
      <c r="H228" s="63">
        <f t="shared" si="3"/>
        <v>3275</v>
      </c>
    </row>
    <row r="229" spans="1:8" ht="12.75" customHeight="1" x14ac:dyDescent="0.25">
      <c r="A229" s="57">
        <f t="shared" si="0"/>
        <v>1</v>
      </c>
      <c r="B229" s="57">
        <f t="shared" si="1"/>
        <v>2022</v>
      </c>
      <c r="C229" s="37" t="str">
        <f t="shared" si="2"/>
        <v>Income: 1</v>
      </c>
      <c r="D229" s="28">
        <v>44592</v>
      </c>
      <c r="E229" s="29" t="s">
        <v>51</v>
      </c>
      <c r="F229" s="36">
        <v>1637.5</v>
      </c>
      <c r="G229" s="36"/>
      <c r="H229" s="63">
        <f t="shared" si="3"/>
        <v>1637.5</v>
      </c>
    </row>
    <row r="230" spans="1:8" ht="12.75" customHeight="1" x14ac:dyDescent="0.25">
      <c r="A230" s="57">
        <f t="shared" si="0"/>
        <v>2</v>
      </c>
      <c r="B230" s="57">
        <f t="shared" si="1"/>
        <v>2022</v>
      </c>
      <c r="C230" s="37" t="str">
        <f t="shared" si="2"/>
        <v>Income: 1</v>
      </c>
      <c r="D230" s="28">
        <v>44593</v>
      </c>
      <c r="E230" s="29" t="s">
        <v>51</v>
      </c>
      <c r="F230" s="36">
        <v>1637.5</v>
      </c>
      <c r="G230" s="36"/>
      <c r="H230" s="63">
        <f t="shared" si="3"/>
        <v>0</v>
      </c>
    </row>
    <row r="231" spans="1:8" ht="12.75" customHeight="1" x14ac:dyDescent="0.25">
      <c r="A231" s="57">
        <f t="shared" si="0"/>
        <v>3</v>
      </c>
      <c r="B231" s="57">
        <f t="shared" si="1"/>
        <v>2022</v>
      </c>
      <c r="C231" s="37" t="str">
        <f t="shared" si="2"/>
        <v>Rent: 1</v>
      </c>
      <c r="D231" s="40" t="str">
        <f>MOD(MONTH(D230), 12)+1 &amp; "/1/" &amp; IF(MONTH(D230)&gt;11, YEAR(D230)+1, YEAR(D230))</f>
        <v>3/1/2022</v>
      </c>
      <c r="E231" s="39" t="str">
        <f>"Rent: "&amp;LOOKUP(A231-1, Months, TextMonths)&amp;" '"&amp;B231</f>
        <v>Rent: Mar '2022</v>
      </c>
      <c r="F231" s="36"/>
      <c r="G231" s="66">
        <v>3275</v>
      </c>
      <c r="H231" s="63">
        <f t="shared" si="3"/>
        <v>3275</v>
      </c>
    </row>
    <row r="232" spans="1:8" ht="12.75" customHeight="1" x14ac:dyDescent="0.25">
      <c r="A232" s="57">
        <f t="shared" si="0"/>
        <v>2</v>
      </c>
      <c r="B232" s="57">
        <f t="shared" si="1"/>
        <v>2022</v>
      </c>
      <c r="C232" s="37" t="str">
        <f t="shared" si="2"/>
        <v>Income: 1</v>
      </c>
      <c r="D232" s="28">
        <v>44620</v>
      </c>
      <c r="E232" s="29" t="s">
        <v>51</v>
      </c>
      <c r="F232" s="36">
        <v>1637.5</v>
      </c>
      <c r="G232" s="36"/>
      <c r="H232" s="63">
        <f t="shared" si="3"/>
        <v>1637.5</v>
      </c>
    </row>
    <row r="233" spans="1:8" ht="12.75" customHeight="1" x14ac:dyDescent="0.25">
      <c r="A233" s="57">
        <f t="shared" si="0"/>
        <v>3</v>
      </c>
      <c r="B233" s="57">
        <f t="shared" si="1"/>
        <v>2022</v>
      </c>
      <c r="C233" s="37" t="str">
        <f t="shared" si="2"/>
        <v>Income: 1</v>
      </c>
      <c r="D233" s="28">
        <v>44621</v>
      </c>
      <c r="E233" s="29" t="s">
        <v>51</v>
      </c>
      <c r="F233" s="36">
        <v>1637.5</v>
      </c>
      <c r="G233" s="36"/>
      <c r="H233" s="63">
        <f t="shared" si="3"/>
        <v>0</v>
      </c>
    </row>
    <row r="234" spans="1:8" ht="12.75" customHeight="1" x14ac:dyDescent="0.25">
      <c r="A234" s="57">
        <f t="shared" si="0"/>
        <v>4</v>
      </c>
      <c r="B234" s="57">
        <f t="shared" si="1"/>
        <v>2022</v>
      </c>
      <c r="C234" s="37" t="str">
        <f t="shared" si="2"/>
        <v>Rent: 1</v>
      </c>
      <c r="D234" s="40" t="str">
        <f>MOD(MONTH(D233), 12)+1 &amp; "/1/" &amp; IF(MONTH(D233)&gt;11, YEAR(D233)+1, YEAR(D233))</f>
        <v>4/1/2022</v>
      </c>
      <c r="E234" s="39" t="str">
        <f>"Rent: "&amp;LOOKUP(A234-1, Months, TextMonths)&amp;" '"&amp;B234</f>
        <v>Rent: Apr '2022</v>
      </c>
      <c r="F234" s="36"/>
      <c r="G234" s="66">
        <v>3275</v>
      </c>
      <c r="H234" s="63">
        <f t="shared" si="3"/>
        <v>3275</v>
      </c>
    </row>
    <row r="235" spans="1:8" ht="12.75" customHeight="1" x14ac:dyDescent="0.25">
      <c r="A235" s="57">
        <f t="shared" si="0"/>
        <v>3</v>
      </c>
      <c r="B235" s="57">
        <f t="shared" si="1"/>
        <v>2022</v>
      </c>
      <c r="C235" s="37" t="str">
        <f t="shared" si="2"/>
        <v>Income: 1</v>
      </c>
      <c r="D235" s="28">
        <v>44651</v>
      </c>
      <c r="E235" s="29" t="s">
        <v>51</v>
      </c>
      <c r="F235" s="36">
        <v>1637.5</v>
      </c>
      <c r="G235" s="36"/>
      <c r="H235" s="63">
        <f t="shared" si="3"/>
        <v>1637.5</v>
      </c>
    </row>
    <row r="236" spans="1:8" ht="12.75" customHeight="1" x14ac:dyDescent="0.25">
      <c r="A236" s="57">
        <f t="shared" si="0"/>
        <v>4</v>
      </c>
      <c r="B236" s="57">
        <f t="shared" si="1"/>
        <v>2022</v>
      </c>
      <c r="C236" s="37" t="str">
        <f t="shared" si="2"/>
        <v>Income: 1</v>
      </c>
      <c r="D236" s="28">
        <v>44652</v>
      </c>
      <c r="E236" s="29" t="s">
        <v>51</v>
      </c>
      <c r="F236" s="36">
        <v>1637.5</v>
      </c>
      <c r="G236" s="36"/>
      <c r="H236" s="63">
        <f t="shared" si="3"/>
        <v>0</v>
      </c>
    </row>
    <row r="237" spans="1:8" ht="12.75" customHeight="1" x14ac:dyDescent="0.25">
      <c r="A237" s="57">
        <f t="shared" si="0"/>
        <v>5</v>
      </c>
      <c r="B237" s="57">
        <f t="shared" si="1"/>
        <v>2022</v>
      </c>
      <c r="C237" s="37" t="str">
        <f t="shared" si="2"/>
        <v>Rent: 1</v>
      </c>
      <c r="D237" s="40" t="str">
        <f>MOD(MONTH(D236), 12)+1 &amp; "/1/" &amp; IF(MONTH(D236)&gt;11, YEAR(D236)+1, YEAR(D236))</f>
        <v>5/1/2022</v>
      </c>
      <c r="E237" s="39" t="str">
        <f>"Rent: "&amp;LOOKUP(A237-1, Months, TextMonths)&amp;" '"&amp;B237</f>
        <v>Rent: May '2022</v>
      </c>
      <c r="F237" s="36"/>
      <c r="G237" s="66">
        <v>3275</v>
      </c>
      <c r="H237" s="63">
        <f t="shared" si="3"/>
        <v>3275</v>
      </c>
    </row>
    <row r="238" spans="1:8" ht="12.75" customHeight="1" x14ac:dyDescent="0.25">
      <c r="A238" s="57">
        <f t="shared" si="0"/>
        <v>5</v>
      </c>
      <c r="B238" s="57">
        <f t="shared" si="1"/>
        <v>2022</v>
      </c>
      <c r="C238" s="37" t="str">
        <f t="shared" si="2"/>
        <v>Income: 1</v>
      </c>
      <c r="D238" s="28">
        <v>44683</v>
      </c>
      <c r="E238" s="29" t="s">
        <v>51</v>
      </c>
      <c r="F238" s="36">
        <v>1637.5</v>
      </c>
      <c r="G238" s="36"/>
      <c r="H238" s="63">
        <f t="shared" si="3"/>
        <v>1637.5</v>
      </c>
    </row>
    <row r="239" spans="1:8" ht="12.75" customHeight="1" x14ac:dyDescent="0.25">
      <c r="A239" s="57">
        <f t="shared" si="0"/>
        <v>5</v>
      </c>
      <c r="B239" s="57">
        <f t="shared" si="1"/>
        <v>2022</v>
      </c>
      <c r="C239" s="37" t="str">
        <f t="shared" si="2"/>
        <v>Income: 1</v>
      </c>
      <c r="D239" s="28">
        <v>44683</v>
      </c>
      <c r="E239" s="29" t="s">
        <v>51</v>
      </c>
      <c r="F239" s="36">
        <v>1637.5</v>
      </c>
      <c r="G239" s="36"/>
      <c r="H239" s="63">
        <f t="shared" si="3"/>
        <v>0</v>
      </c>
    </row>
    <row r="240" spans="1:8" ht="12.75" customHeight="1" x14ac:dyDescent="0.25">
      <c r="A240" s="57">
        <f t="shared" si="0"/>
        <v>6</v>
      </c>
      <c r="B240" s="57">
        <f t="shared" si="1"/>
        <v>2022</v>
      </c>
      <c r="C240" s="37" t="str">
        <f t="shared" si="2"/>
        <v>Rent: 1</v>
      </c>
      <c r="D240" s="40" t="str">
        <f>MOD(MONTH(D239), 12)+1 &amp; "/1/" &amp; IF(MONTH(D239)&gt;11, YEAR(D239)+1, YEAR(D239))</f>
        <v>6/1/2022</v>
      </c>
      <c r="E240" s="39" t="str">
        <f>"Rent: "&amp;LOOKUP(A240-1, Months, TextMonths)&amp;" '"&amp;B240</f>
        <v>Rent: Jun '2022</v>
      </c>
      <c r="F240" s="36"/>
      <c r="G240" s="66">
        <v>3275</v>
      </c>
      <c r="H240" s="63">
        <f t="shared" si="3"/>
        <v>3275</v>
      </c>
    </row>
    <row r="241" spans="1:8" ht="12.75" customHeight="1" x14ac:dyDescent="0.25">
      <c r="A241" s="57">
        <f t="shared" si="0"/>
        <v>5</v>
      </c>
      <c r="B241" s="57">
        <f t="shared" si="1"/>
        <v>2022</v>
      </c>
      <c r="C241" s="37" t="str">
        <f t="shared" si="2"/>
        <v>Income: 1</v>
      </c>
      <c r="D241" s="28">
        <v>44712</v>
      </c>
      <c r="E241" s="29" t="s">
        <v>51</v>
      </c>
      <c r="F241" s="36">
        <v>1637.5</v>
      </c>
      <c r="G241" s="36"/>
      <c r="H241" s="63">
        <f t="shared" si="3"/>
        <v>1637.5</v>
      </c>
    </row>
    <row r="242" spans="1:8" ht="12.75" customHeight="1" x14ac:dyDescent="0.25">
      <c r="A242" s="57">
        <f t="shared" si="0"/>
        <v>6</v>
      </c>
      <c r="B242" s="57">
        <f t="shared" si="1"/>
        <v>2022</v>
      </c>
      <c r="C242" s="37" t="str">
        <f t="shared" si="2"/>
        <v>Income: 1</v>
      </c>
      <c r="D242" s="28">
        <v>44713</v>
      </c>
      <c r="E242" s="29" t="s">
        <v>51</v>
      </c>
      <c r="F242" s="36">
        <v>1637.5</v>
      </c>
      <c r="G242" s="36"/>
      <c r="H242" s="63">
        <f t="shared" si="3"/>
        <v>0</v>
      </c>
    </row>
    <row r="243" spans="1:8" ht="12.75" customHeight="1" x14ac:dyDescent="0.25">
      <c r="A243" s="57">
        <f t="shared" ref="A243:A251" si="4">MONTH(D243)</f>
        <v>7</v>
      </c>
      <c r="B243" s="57">
        <f t="shared" ref="B243:B251" si="5">YEAR(D243)</f>
        <v>2022</v>
      </c>
      <c r="C243" s="37" t="str">
        <f t="shared" ref="C243:C251" si="6">IFERROR("Rent: "&amp;FIND("Rent",E243),IFERROR("Priv Tax: "&amp;FIND("Tax",E243), IFERROR("Income: "&amp;FIND("Payment",E243,1),"")))</f>
        <v>Rent: 1</v>
      </c>
      <c r="D243" s="40" t="str">
        <f>MOD(MONTH(D242), 12)+1 &amp; "/1/" &amp; IF(MONTH(D242)&gt;11, YEAR(D242)+1, YEAR(D242))</f>
        <v>7/1/2022</v>
      </c>
      <c r="E243" s="39" t="str">
        <f>"Rent: "&amp;LOOKUP(A243-1, Months, TextMonths)&amp;" '"&amp;B243</f>
        <v>Rent: Jul '2022</v>
      </c>
      <c r="F243" s="36"/>
      <c r="G243" s="66">
        <v>3275</v>
      </c>
      <c r="H243" s="63">
        <f t="shared" ref="H243:H248" si="7">H242+G243-F243</f>
        <v>3275</v>
      </c>
    </row>
    <row r="244" spans="1:8" ht="12.75" customHeight="1" x14ac:dyDescent="0.25">
      <c r="A244" s="57">
        <f t="shared" si="4"/>
        <v>6</v>
      </c>
      <c r="B244" s="57">
        <f t="shared" si="5"/>
        <v>2022</v>
      </c>
      <c r="C244" s="37" t="str">
        <f t="shared" si="6"/>
        <v>Income: 1</v>
      </c>
      <c r="D244" s="28">
        <v>44742</v>
      </c>
      <c r="E244" s="29" t="s">
        <v>51</v>
      </c>
      <c r="F244" s="36">
        <v>1637.5</v>
      </c>
      <c r="G244" s="36"/>
      <c r="H244" s="63">
        <f t="shared" si="7"/>
        <v>1637.5</v>
      </c>
    </row>
    <row r="245" spans="1:8" ht="12.75" customHeight="1" x14ac:dyDescent="0.25">
      <c r="A245" s="57">
        <f t="shared" si="4"/>
        <v>7</v>
      </c>
      <c r="B245" s="57">
        <f t="shared" si="5"/>
        <v>2022</v>
      </c>
      <c r="C245" s="37" t="str">
        <f t="shared" si="6"/>
        <v>Income: 1</v>
      </c>
      <c r="D245" s="28">
        <v>44743</v>
      </c>
      <c r="E245" s="29" t="s">
        <v>51</v>
      </c>
      <c r="F245" s="36">
        <v>1637.5</v>
      </c>
      <c r="G245" s="36"/>
      <c r="H245" s="63">
        <f t="shared" si="7"/>
        <v>0</v>
      </c>
    </row>
    <row r="246" spans="1:8" ht="12.75" customHeight="1" x14ac:dyDescent="0.25">
      <c r="A246" s="57">
        <f t="shared" si="4"/>
        <v>8</v>
      </c>
      <c r="B246" s="57">
        <f t="shared" si="5"/>
        <v>2022</v>
      </c>
      <c r="C246" s="37" t="str">
        <f t="shared" si="6"/>
        <v>Rent: 1</v>
      </c>
      <c r="D246" s="40" t="str">
        <f>MOD(MONTH(D245), 12)+1 &amp; "/1/" &amp; IF(MONTH(D245)&gt;11, YEAR(D245)+1, YEAR(D245))</f>
        <v>8/1/2022</v>
      </c>
      <c r="E246" s="39" t="str">
        <f>"Rent: "&amp;LOOKUP(A246-1, Months, TextMonths)&amp;" '"&amp;B246</f>
        <v>Rent: Aug '2022</v>
      </c>
      <c r="F246" s="36"/>
      <c r="G246" s="66">
        <v>3275</v>
      </c>
      <c r="H246" s="63">
        <f t="shared" si="7"/>
        <v>3275</v>
      </c>
    </row>
    <row r="247" spans="1:8" ht="12.75" customHeight="1" x14ac:dyDescent="0.25">
      <c r="A247" s="57">
        <f t="shared" si="4"/>
        <v>8</v>
      </c>
      <c r="B247" s="57">
        <f t="shared" si="5"/>
        <v>2022</v>
      </c>
      <c r="C247" s="37" t="str">
        <f t="shared" si="6"/>
        <v>Income: 1</v>
      </c>
      <c r="D247" s="28">
        <v>44774</v>
      </c>
      <c r="E247" s="29" t="s">
        <v>51</v>
      </c>
      <c r="F247" s="36">
        <v>1637.5</v>
      </c>
      <c r="G247" s="36"/>
      <c r="H247" s="63">
        <f t="shared" si="7"/>
        <v>1637.5</v>
      </c>
    </row>
    <row r="248" spans="1:8" ht="12.75" customHeight="1" x14ac:dyDescent="0.25">
      <c r="A248" s="57">
        <f t="shared" si="4"/>
        <v>8</v>
      </c>
      <c r="B248" s="57">
        <f t="shared" si="5"/>
        <v>2022</v>
      </c>
      <c r="C248" s="37" t="str">
        <f t="shared" si="6"/>
        <v>Income: 1</v>
      </c>
      <c r="D248" s="28">
        <v>44774</v>
      </c>
      <c r="E248" s="29" t="s">
        <v>51</v>
      </c>
      <c r="F248" s="36">
        <v>1637.5</v>
      </c>
      <c r="G248" s="36"/>
      <c r="H248" s="63">
        <f t="shared" si="7"/>
        <v>0</v>
      </c>
    </row>
    <row r="249" spans="1:8" ht="12.75" customHeight="1" x14ac:dyDescent="0.25">
      <c r="A249" s="57">
        <f t="shared" si="4"/>
        <v>9</v>
      </c>
      <c r="B249" s="57">
        <f t="shared" si="5"/>
        <v>2022</v>
      </c>
      <c r="C249" s="37" t="str">
        <f t="shared" si="6"/>
        <v>Rent: 1</v>
      </c>
      <c r="D249" s="40" t="str">
        <f>MOD(MONTH(D248), 12)+1 &amp; "/1/" &amp; IF(MONTH(D248)&gt;11, YEAR(D248)+1, YEAR(D248))</f>
        <v>9/1/2022</v>
      </c>
      <c r="E249" s="39" t="str">
        <f>"Rent: "&amp;LOOKUP(A249-1, Months, TextMonths)&amp;" '"&amp;B249</f>
        <v>Rent: Sep '2022</v>
      </c>
      <c r="F249" s="36"/>
      <c r="G249" s="66">
        <v>3275</v>
      </c>
      <c r="H249" s="63">
        <v>3525</v>
      </c>
    </row>
    <row r="250" spans="1:8" ht="12.75" customHeight="1" x14ac:dyDescent="0.25">
      <c r="A250" s="57">
        <f t="shared" si="4"/>
        <v>8</v>
      </c>
      <c r="B250" s="57">
        <f t="shared" si="5"/>
        <v>2022</v>
      </c>
      <c r="C250" s="37" t="str">
        <f t="shared" si="6"/>
        <v>Income: 1</v>
      </c>
      <c r="D250" s="28">
        <v>44804</v>
      </c>
      <c r="E250" s="29" t="s">
        <v>51</v>
      </c>
      <c r="F250" s="36">
        <v>1762.5</v>
      </c>
      <c r="G250" s="36"/>
      <c r="H250" s="63">
        <f>H249+G250-F250</f>
        <v>1762.5</v>
      </c>
    </row>
    <row r="251" spans="1:8" ht="12.75" customHeight="1" x14ac:dyDescent="0.25">
      <c r="A251" s="57">
        <f t="shared" si="4"/>
        <v>9</v>
      </c>
      <c r="B251" s="57">
        <f t="shared" si="5"/>
        <v>2022</v>
      </c>
      <c r="C251" s="37" t="str">
        <f t="shared" si="6"/>
        <v>Income: 1</v>
      </c>
      <c r="D251" s="28">
        <v>44806</v>
      </c>
      <c r="E251" s="29" t="s">
        <v>51</v>
      </c>
      <c r="F251" s="36">
        <v>1762.5</v>
      </c>
      <c r="G251" s="36"/>
      <c r="H251" s="63">
        <f>H250+G251-F251</f>
        <v>0</v>
      </c>
    </row>
    <row r="252" spans="1:8" ht="12.75" customHeight="1" x14ac:dyDescent="0.25">
      <c r="A252" s="57">
        <f t="shared" ref="A252:A257" si="8">MONTH(D252)</f>
        <v>10</v>
      </c>
      <c r="B252" s="57">
        <f t="shared" ref="B252:B257" si="9">YEAR(D252)</f>
        <v>2022</v>
      </c>
      <c r="C252" s="37" t="str">
        <f t="shared" ref="C252:C257" si="10">IFERROR("Rent: "&amp;FIND("Rent",E252),IFERROR("Priv Tax: "&amp;FIND("Tax",E252), IFERROR("Income: "&amp;FIND("Payment",E252,1),"")))</f>
        <v>Rent: 1</v>
      </c>
      <c r="D252" s="40" t="str">
        <f>MOD(MONTH(D251), 12)+1 &amp; "/1/" &amp; IF(MONTH(D251)&gt;11, YEAR(D251)+1, YEAR(D251))</f>
        <v>10/1/2022</v>
      </c>
      <c r="E252" s="39" t="str">
        <f>"Rent: "&amp;LOOKUP(A252-1, Months, TextMonths)&amp;" '"&amp;B252</f>
        <v>Rent: Oct '2022</v>
      </c>
      <c r="F252" s="36"/>
      <c r="G252" s="66">
        <v>3275</v>
      </c>
      <c r="H252" s="63">
        <v>3525</v>
      </c>
    </row>
    <row r="253" spans="1:8" ht="12.75" customHeight="1" x14ac:dyDescent="0.25">
      <c r="A253" s="57">
        <f t="shared" si="8"/>
        <v>9</v>
      </c>
      <c r="B253" s="57">
        <f t="shared" si="9"/>
        <v>2022</v>
      </c>
      <c r="C253" s="37" t="str">
        <f t="shared" si="10"/>
        <v>Income: 1</v>
      </c>
      <c r="D253" s="28">
        <v>44834</v>
      </c>
      <c r="E253" s="29" t="s">
        <v>51</v>
      </c>
      <c r="F253" s="36">
        <v>1762.5</v>
      </c>
      <c r="G253" s="36"/>
      <c r="H253" s="63">
        <f>H252+G253-F253</f>
        <v>1762.5</v>
      </c>
    </row>
    <row r="254" spans="1:8" ht="12.75" customHeight="1" x14ac:dyDescent="0.25">
      <c r="A254" s="57">
        <f t="shared" si="8"/>
        <v>10</v>
      </c>
      <c r="B254" s="57">
        <f t="shared" si="9"/>
        <v>2022</v>
      </c>
      <c r="C254" s="37" t="str">
        <f t="shared" si="10"/>
        <v>Income: 1</v>
      </c>
      <c r="D254" s="28">
        <v>44837</v>
      </c>
      <c r="E254" s="29" t="s">
        <v>51</v>
      </c>
      <c r="F254" s="36">
        <v>1762.5</v>
      </c>
      <c r="G254" s="36"/>
      <c r="H254" s="63">
        <f>H253+G254-F254</f>
        <v>0</v>
      </c>
    </row>
    <row r="255" spans="1:8" ht="12.75" customHeight="1" x14ac:dyDescent="0.25">
      <c r="A255" s="57">
        <f t="shared" si="8"/>
        <v>11</v>
      </c>
      <c r="B255" s="57">
        <f t="shared" si="9"/>
        <v>2022</v>
      </c>
      <c r="C255" s="37" t="str">
        <f t="shared" si="10"/>
        <v>Rent: 1</v>
      </c>
      <c r="D255" s="40" t="str">
        <f>MOD(MONTH(D254), 12)+1 &amp; "/1/" &amp; IF(MONTH(D254)&gt;11, YEAR(D254)+1, YEAR(D254))</f>
        <v>11/1/2022</v>
      </c>
      <c r="E255" s="39" t="str">
        <f>"Rent: "&amp;LOOKUP(A255-1, Months, TextMonths)&amp;" '"&amp;B255</f>
        <v>Rent: Nov '2022</v>
      </c>
      <c r="F255" s="36"/>
      <c r="G255" s="66">
        <v>3275</v>
      </c>
      <c r="H255" s="63">
        <v>3525</v>
      </c>
    </row>
    <row r="256" spans="1:8" ht="12.75" customHeight="1" x14ac:dyDescent="0.25">
      <c r="A256" s="57">
        <f t="shared" si="8"/>
        <v>10</v>
      </c>
      <c r="B256" s="57">
        <f t="shared" si="9"/>
        <v>2022</v>
      </c>
      <c r="C256" s="37" t="str">
        <f t="shared" si="10"/>
        <v>Income: 1</v>
      </c>
      <c r="D256" s="28">
        <v>44865</v>
      </c>
      <c r="E256" s="29" t="s">
        <v>51</v>
      </c>
      <c r="F256" s="36">
        <v>1762.5</v>
      </c>
      <c r="G256" s="36"/>
      <c r="H256" s="63">
        <f t="shared" ref="H256:H263" si="11">H255+G256-F256</f>
        <v>1762.5</v>
      </c>
    </row>
    <row r="257" spans="1:8" ht="12.75" customHeight="1" x14ac:dyDescent="0.25">
      <c r="A257" s="57">
        <f t="shared" si="8"/>
        <v>11</v>
      </c>
      <c r="B257" s="57">
        <f t="shared" si="9"/>
        <v>2022</v>
      </c>
      <c r="C257" s="37" t="str">
        <f t="shared" si="10"/>
        <v>Income: 1</v>
      </c>
      <c r="D257" s="28">
        <v>44866</v>
      </c>
      <c r="E257" s="29" t="s">
        <v>51</v>
      </c>
      <c r="F257" s="36">
        <v>1762.5</v>
      </c>
      <c r="G257" s="36"/>
      <c r="H257" s="63">
        <f t="shared" si="11"/>
        <v>0</v>
      </c>
    </row>
    <row r="258" spans="1:8" ht="12.75" customHeight="1" x14ac:dyDescent="0.25">
      <c r="A258" s="57">
        <f t="shared" ref="A258:A263" si="12">MONTH(D258)</f>
        <v>12</v>
      </c>
      <c r="B258" s="57">
        <f t="shared" ref="B258:B263" si="13">YEAR(D258)</f>
        <v>2022</v>
      </c>
      <c r="C258" s="37" t="str">
        <f t="shared" ref="C258:C263" si="14">IFERROR("Rent: "&amp;FIND("Rent",E258),IFERROR("Priv Tax: "&amp;FIND("Tax",E258), IFERROR("Income: "&amp;FIND("Payment",E258,1),"")))</f>
        <v>Rent: 1</v>
      </c>
      <c r="D258" s="40" t="str">
        <f>MOD(MONTH(D257), 12)+1 &amp; "/1/" &amp; IF(MONTH(D257)&gt;11, YEAR(D257)+1, YEAR(D257))</f>
        <v>12/1/2022</v>
      </c>
      <c r="E258" s="39" t="str">
        <f>"Rent: "&amp;LOOKUP(A258-1, Months, TextMonths)&amp;" '"&amp;B258</f>
        <v>Rent: Dec '2022</v>
      </c>
      <c r="F258" s="36"/>
      <c r="G258" s="66">
        <v>3775</v>
      </c>
      <c r="H258" s="63">
        <f t="shared" si="11"/>
        <v>3775</v>
      </c>
    </row>
    <row r="259" spans="1:8" ht="12.75" customHeight="1" x14ac:dyDescent="0.25">
      <c r="A259" s="57">
        <f t="shared" si="12"/>
        <v>10</v>
      </c>
      <c r="B259" s="57">
        <f t="shared" si="13"/>
        <v>2022</v>
      </c>
      <c r="C259" s="37" t="str">
        <f t="shared" si="14"/>
        <v>Income: 1</v>
      </c>
      <c r="D259" s="28">
        <v>44865</v>
      </c>
      <c r="E259" s="29" t="s">
        <v>51</v>
      </c>
      <c r="F259" s="36">
        <v>1887.5</v>
      </c>
      <c r="G259" s="36"/>
      <c r="H259" s="63">
        <f t="shared" si="11"/>
        <v>1887.5</v>
      </c>
    </row>
    <row r="260" spans="1:8" ht="12.75" customHeight="1" x14ac:dyDescent="0.25">
      <c r="A260" s="57">
        <f t="shared" si="12"/>
        <v>11</v>
      </c>
      <c r="B260" s="57">
        <f t="shared" si="13"/>
        <v>2022</v>
      </c>
      <c r="C260" s="37" t="str">
        <f t="shared" si="14"/>
        <v>Income: 1</v>
      </c>
      <c r="D260" s="28">
        <v>44866</v>
      </c>
      <c r="E260" s="29" t="s">
        <v>51</v>
      </c>
      <c r="F260" s="36">
        <v>1887.5</v>
      </c>
      <c r="G260" s="36"/>
      <c r="H260" s="63">
        <f t="shared" si="11"/>
        <v>0</v>
      </c>
    </row>
    <row r="261" spans="1:8" ht="12.75" customHeight="1" x14ac:dyDescent="0.25">
      <c r="A261" s="57">
        <f t="shared" si="12"/>
        <v>1</v>
      </c>
      <c r="B261" s="57">
        <f t="shared" si="13"/>
        <v>2023</v>
      </c>
      <c r="C261" s="37" t="str">
        <f t="shared" si="14"/>
        <v>Rent: 1</v>
      </c>
      <c r="D261" s="40">
        <v>44927</v>
      </c>
      <c r="E261" s="39" t="str">
        <f>"Rent: "&amp;LOOKUP(A261-1, Months, TextMonths)&amp;" '"&amp;B261</f>
        <v>Rent: Jan '2023</v>
      </c>
      <c r="F261" s="36"/>
      <c r="G261" s="66">
        <v>3775</v>
      </c>
      <c r="H261" s="63">
        <f t="shared" si="11"/>
        <v>3775</v>
      </c>
    </row>
    <row r="262" spans="1:8" ht="12.75" customHeight="1" x14ac:dyDescent="0.25">
      <c r="A262" s="57">
        <f t="shared" si="12"/>
        <v>12</v>
      </c>
      <c r="B262" s="57">
        <f t="shared" si="13"/>
        <v>2023</v>
      </c>
      <c r="C262" s="37" t="str">
        <f t="shared" si="14"/>
        <v>Income: 1</v>
      </c>
      <c r="D262" s="28">
        <v>45290</v>
      </c>
      <c r="E262" s="29" t="s">
        <v>51</v>
      </c>
      <c r="F262" s="36">
        <v>1887.5</v>
      </c>
      <c r="G262" s="36"/>
      <c r="H262" s="63">
        <f t="shared" si="11"/>
        <v>1887.5</v>
      </c>
    </row>
    <row r="263" spans="1:8" ht="12.75" customHeight="1" x14ac:dyDescent="0.25">
      <c r="A263" s="57">
        <f t="shared" si="12"/>
        <v>1</v>
      </c>
      <c r="B263" s="57">
        <f t="shared" si="13"/>
        <v>2023</v>
      </c>
      <c r="C263" s="37" t="str">
        <f t="shared" si="14"/>
        <v>Income: 1</v>
      </c>
      <c r="D263" s="28">
        <v>44929</v>
      </c>
      <c r="E263" s="29" t="s">
        <v>51</v>
      </c>
      <c r="F263" s="36">
        <v>1887.5</v>
      </c>
      <c r="G263" s="36"/>
      <c r="H263" s="63">
        <f t="shared" si="11"/>
        <v>0</v>
      </c>
    </row>
    <row r="264" spans="1:8" ht="12.75" customHeight="1" x14ac:dyDescent="0.25">
      <c r="A264">
        <f xml:space="preserve"> MONTH(D264)</f>
        <v>5</v>
      </c>
      <c r="B264">
        <f xml:space="preserve"> YEAR(D264)</f>
        <v>2023</v>
      </c>
      <c r="D264" s="140">
        <v>45050</v>
      </c>
      <c r="E264" t="s">
        <v>149</v>
      </c>
      <c r="F264" s="36"/>
      <c r="G264" s="36">
        <v>50</v>
      </c>
      <c r="H264" s="36">
        <f xml:space="preserve"> H263-G264+ F264</f>
        <v>-50</v>
      </c>
    </row>
    <row r="265" spans="1:8" ht="12.75" customHeight="1" x14ac:dyDescent="0.25">
      <c r="F265" s="36"/>
      <c r="G265" s="36"/>
      <c r="H265" s="36"/>
    </row>
    <row r="266" spans="1:8" ht="12.75" customHeight="1" x14ac:dyDescent="0.25">
      <c r="F266" s="36"/>
      <c r="G266" s="36"/>
      <c r="H266" s="36"/>
    </row>
    <row r="267" spans="1:8" ht="12.75" customHeight="1" x14ac:dyDescent="0.25">
      <c r="F267" s="36"/>
      <c r="G267" s="36"/>
      <c r="H267" s="36"/>
    </row>
    <row r="268" spans="1:8" ht="12.75" customHeight="1" x14ac:dyDescent="0.25">
      <c r="F268" s="36"/>
      <c r="G268" s="36"/>
      <c r="H268" s="36"/>
    </row>
    <row r="269" spans="1:8" ht="12.75" customHeight="1" x14ac:dyDescent="0.25">
      <c r="F269" s="36"/>
      <c r="G269" s="36"/>
      <c r="H269" s="36"/>
    </row>
    <row r="270" spans="1:8" ht="12.75" customHeight="1" x14ac:dyDescent="0.25">
      <c r="F270" s="36"/>
      <c r="G270" s="36"/>
      <c r="H270" s="36"/>
    </row>
    <row r="271" spans="1:8" ht="12.75" customHeight="1" x14ac:dyDescent="0.25">
      <c r="F271" s="36"/>
      <c r="G271" s="36"/>
      <c r="H271" s="36"/>
    </row>
    <row r="272" spans="1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>
      <c r="F938" s="36"/>
      <c r="G938" s="36"/>
      <c r="H938" s="36"/>
    </row>
    <row r="939" spans="6:8" ht="12.75" customHeight="1" x14ac:dyDescent="0.25">
      <c r="F939" s="36"/>
      <c r="G939" s="36"/>
      <c r="H939" s="36"/>
    </row>
    <row r="940" spans="6:8" ht="12.75" customHeight="1" x14ac:dyDescent="0.25">
      <c r="F940" s="36"/>
      <c r="G940" s="36"/>
      <c r="H940" s="36"/>
    </row>
    <row r="941" spans="6:8" ht="12.75" customHeight="1" x14ac:dyDescent="0.25">
      <c r="F941" s="36"/>
      <c r="G941" s="36"/>
      <c r="H941" s="36"/>
    </row>
    <row r="942" spans="6:8" ht="12.75" customHeight="1" x14ac:dyDescent="0.25">
      <c r="F942" s="36"/>
      <c r="G942" s="36"/>
      <c r="H942" s="36"/>
    </row>
    <row r="943" spans="6:8" ht="12.75" customHeight="1" x14ac:dyDescent="0.25">
      <c r="F943" s="36"/>
      <c r="G943" s="36"/>
      <c r="H943" s="36"/>
    </row>
    <row r="944" spans="6:8" ht="12.75" customHeight="1" x14ac:dyDescent="0.25">
      <c r="F944" s="36"/>
      <c r="G944" s="36"/>
      <c r="H944" s="36"/>
    </row>
    <row r="945" spans="6:8" ht="12.75" customHeight="1" x14ac:dyDescent="0.25">
      <c r="F945" s="36"/>
      <c r="G945" s="36"/>
      <c r="H945" s="36"/>
    </row>
    <row r="946" spans="6:8" ht="12.75" customHeight="1" x14ac:dyDescent="0.25">
      <c r="F946" s="36"/>
      <c r="G946" s="36"/>
      <c r="H946" s="36"/>
    </row>
    <row r="947" spans="6:8" ht="12.75" customHeight="1" x14ac:dyDescent="0.25">
      <c r="F947" s="36"/>
      <c r="G947" s="36"/>
      <c r="H947" s="36"/>
    </row>
    <row r="948" spans="6:8" ht="12.75" customHeight="1" x14ac:dyDescent="0.25">
      <c r="F948" s="36"/>
      <c r="G948" s="36"/>
      <c r="H948" s="36"/>
    </row>
    <row r="949" spans="6:8" ht="12.75" customHeight="1" x14ac:dyDescent="0.25">
      <c r="F949" s="36"/>
      <c r="G949" s="36"/>
      <c r="H949" s="36"/>
    </row>
    <row r="950" spans="6:8" ht="12.75" customHeight="1" x14ac:dyDescent="0.25">
      <c r="F950" s="36"/>
      <c r="G950" s="36"/>
      <c r="H950" s="36"/>
    </row>
    <row r="951" spans="6:8" ht="12.75" customHeight="1" x14ac:dyDescent="0.25">
      <c r="F951" s="36"/>
      <c r="G951" s="36"/>
      <c r="H951" s="36"/>
    </row>
    <row r="952" spans="6:8" ht="12.75" customHeight="1" x14ac:dyDescent="0.25">
      <c r="F952" s="36"/>
      <c r="G952" s="36"/>
      <c r="H952" s="36"/>
    </row>
    <row r="953" spans="6:8" ht="12.75" customHeight="1" x14ac:dyDescent="0.25">
      <c r="F953" s="36"/>
      <c r="G953" s="36"/>
      <c r="H953" s="36"/>
    </row>
    <row r="954" spans="6:8" ht="12.75" customHeight="1" x14ac:dyDescent="0.25">
      <c r="F954" s="36"/>
      <c r="G954" s="36"/>
      <c r="H954" s="36"/>
    </row>
    <row r="955" spans="6:8" ht="12.75" customHeight="1" x14ac:dyDescent="0.25">
      <c r="F955" s="36"/>
      <c r="G955" s="36"/>
      <c r="H955" s="36"/>
    </row>
    <row r="956" spans="6:8" ht="12.75" customHeight="1" x14ac:dyDescent="0.25">
      <c r="F956" s="36"/>
      <c r="G956" s="36"/>
      <c r="H956" s="36"/>
    </row>
    <row r="957" spans="6:8" ht="12.75" customHeight="1" x14ac:dyDescent="0.25">
      <c r="F957" s="36"/>
      <c r="G957" s="36"/>
      <c r="H957" s="36"/>
    </row>
    <row r="958" spans="6:8" ht="12.75" customHeight="1" x14ac:dyDescent="0.25">
      <c r="F958" s="36"/>
      <c r="G958" s="36"/>
      <c r="H958" s="36"/>
    </row>
    <row r="959" spans="6:8" ht="12.75" customHeight="1" x14ac:dyDescent="0.25">
      <c r="F959" s="36"/>
      <c r="G959" s="36"/>
      <c r="H959" s="36"/>
    </row>
    <row r="960" spans="6:8" ht="12.75" customHeight="1" x14ac:dyDescent="0.25">
      <c r="F960" s="36"/>
      <c r="G960" s="36"/>
      <c r="H960" s="36"/>
    </row>
    <row r="961" spans="6:8" ht="12.75" customHeight="1" x14ac:dyDescent="0.25">
      <c r="F961" s="36"/>
      <c r="G961" s="36"/>
      <c r="H961" s="36"/>
    </row>
    <row r="962" spans="6:8" ht="12.75" customHeight="1" x14ac:dyDescent="0.25">
      <c r="F962" s="36"/>
      <c r="G962" s="36"/>
      <c r="H962" s="36"/>
    </row>
    <row r="963" spans="6:8" ht="12.75" customHeight="1" x14ac:dyDescent="0.25">
      <c r="F963" s="36"/>
      <c r="G963" s="36"/>
      <c r="H963" s="36"/>
    </row>
    <row r="964" spans="6:8" ht="12.75" customHeight="1" x14ac:dyDescent="0.25">
      <c r="F964" s="36"/>
      <c r="G964" s="36"/>
      <c r="H964" s="36"/>
    </row>
    <row r="965" spans="6:8" ht="12.75" customHeight="1" x14ac:dyDescent="0.25">
      <c r="F965" s="36"/>
      <c r="G965" s="36"/>
      <c r="H965" s="36"/>
    </row>
    <row r="966" spans="6:8" ht="12.75" customHeight="1" x14ac:dyDescent="0.25">
      <c r="F966" s="36"/>
      <c r="G966" s="36"/>
      <c r="H966" s="36"/>
    </row>
    <row r="967" spans="6:8" ht="12.75" customHeight="1" x14ac:dyDescent="0.25">
      <c r="F967" s="36"/>
      <c r="G967" s="36"/>
      <c r="H967" s="36"/>
    </row>
    <row r="968" spans="6:8" ht="12.75" customHeight="1" x14ac:dyDescent="0.25">
      <c r="F968" s="36"/>
      <c r="G968" s="36"/>
      <c r="H968" s="36"/>
    </row>
    <row r="969" spans="6:8" ht="12.75" customHeight="1" x14ac:dyDescent="0.25">
      <c r="F969" s="36"/>
      <c r="G969" s="36"/>
      <c r="H969" s="36"/>
    </row>
    <row r="970" spans="6:8" ht="12.75" customHeight="1" x14ac:dyDescent="0.25">
      <c r="F970" s="36"/>
      <c r="G970" s="36"/>
      <c r="H970" s="36"/>
    </row>
    <row r="971" spans="6:8" ht="12.75" customHeight="1" x14ac:dyDescent="0.25">
      <c r="F971" s="36"/>
      <c r="G971" s="36"/>
      <c r="H971" s="36"/>
    </row>
    <row r="972" spans="6:8" ht="12.75" customHeight="1" x14ac:dyDescent="0.25">
      <c r="F972" s="36"/>
      <c r="G972" s="36"/>
      <c r="H972" s="36"/>
    </row>
    <row r="973" spans="6:8" ht="12.75" customHeight="1" x14ac:dyDescent="0.25">
      <c r="F973" s="36"/>
      <c r="G973" s="36"/>
      <c r="H973" s="36"/>
    </row>
    <row r="974" spans="6:8" ht="12.75" customHeight="1" x14ac:dyDescent="0.25">
      <c r="F974" s="36"/>
      <c r="G974" s="36"/>
      <c r="H974" s="36"/>
    </row>
    <row r="975" spans="6:8" ht="12.75" customHeight="1" x14ac:dyDescent="0.25">
      <c r="F975" s="36"/>
      <c r="G975" s="36"/>
      <c r="H975" s="36"/>
    </row>
    <row r="976" spans="6:8" ht="12.75" customHeight="1" x14ac:dyDescent="0.25">
      <c r="F976" s="36"/>
      <c r="G976" s="36"/>
      <c r="H976" s="36"/>
    </row>
    <row r="977" spans="6:8" ht="12.75" customHeight="1" x14ac:dyDescent="0.25">
      <c r="F977" s="36"/>
      <c r="G977" s="36"/>
      <c r="H977" s="36"/>
    </row>
    <row r="978" spans="6:8" ht="12.75" customHeight="1" x14ac:dyDescent="0.25">
      <c r="F978" s="36"/>
      <c r="G978" s="36"/>
      <c r="H978" s="36"/>
    </row>
    <row r="979" spans="6:8" ht="12.75" customHeight="1" x14ac:dyDescent="0.25">
      <c r="F979" s="36"/>
      <c r="G979" s="36"/>
      <c r="H979" s="36"/>
    </row>
    <row r="980" spans="6:8" ht="12.75" customHeight="1" x14ac:dyDescent="0.25">
      <c r="F980" s="36"/>
      <c r="G980" s="36"/>
      <c r="H980" s="36"/>
    </row>
    <row r="981" spans="6:8" ht="12.75" customHeight="1" x14ac:dyDescent="0.25">
      <c r="F981" s="36"/>
      <c r="G981" s="36"/>
      <c r="H981" s="36"/>
    </row>
    <row r="982" spans="6:8" ht="12.75" customHeight="1" x14ac:dyDescent="0.25">
      <c r="F982" s="36"/>
      <c r="G982" s="36"/>
      <c r="H982" s="36"/>
    </row>
    <row r="983" spans="6:8" ht="12.75" customHeight="1" x14ac:dyDescent="0.25">
      <c r="F983" s="36"/>
      <c r="G983" s="36"/>
      <c r="H983" s="36"/>
    </row>
    <row r="984" spans="6:8" ht="12.75" customHeight="1" x14ac:dyDescent="0.25">
      <c r="F984" s="36"/>
      <c r="G984" s="36"/>
      <c r="H984" s="36"/>
    </row>
    <row r="985" spans="6:8" ht="12.75" customHeight="1" x14ac:dyDescent="0.25">
      <c r="F985" s="36"/>
      <c r="G985" s="36"/>
      <c r="H985" s="36"/>
    </row>
    <row r="986" spans="6:8" ht="12.75" customHeight="1" x14ac:dyDescent="0.25">
      <c r="F986" s="36"/>
      <c r="G986" s="36"/>
      <c r="H986" s="36"/>
    </row>
    <row r="987" spans="6:8" ht="12.75" customHeight="1" x14ac:dyDescent="0.25">
      <c r="F987" s="36"/>
      <c r="G987" s="36"/>
      <c r="H987" s="36"/>
    </row>
    <row r="988" spans="6:8" ht="12.75" customHeight="1" x14ac:dyDescent="0.25">
      <c r="F988" s="36"/>
      <c r="G988" s="36"/>
      <c r="H988" s="36"/>
    </row>
    <row r="989" spans="6:8" ht="12.75" customHeight="1" x14ac:dyDescent="0.25">
      <c r="F989" s="36"/>
      <c r="G989" s="36"/>
      <c r="H989" s="36"/>
    </row>
    <row r="990" spans="6:8" ht="12.75" customHeight="1" x14ac:dyDescent="0.25">
      <c r="F990" s="36"/>
      <c r="G990" s="36"/>
      <c r="H990" s="36"/>
    </row>
    <row r="991" spans="6:8" ht="12.75" customHeight="1" x14ac:dyDescent="0.25">
      <c r="F991" s="36"/>
      <c r="G991" s="36"/>
      <c r="H991" s="36"/>
    </row>
    <row r="992" spans="6:8" ht="12.75" customHeight="1" x14ac:dyDescent="0.25">
      <c r="F992" s="36"/>
      <c r="G992" s="36"/>
      <c r="H992" s="36"/>
    </row>
    <row r="993" spans="6:8" ht="12.75" customHeight="1" x14ac:dyDescent="0.25">
      <c r="F993" s="36"/>
      <c r="G993" s="36"/>
      <c r="H993" s="36"/>
    </row>
    <row r="994" spans="6:8" ht="12.75" customHeight="1" x14ac:dyDescent="0.25">
      <c r="F994" s="36"/>
      <c r="G994" s="36"/>
      <c r="H994" s="36"/>
    </row>
    <row r="995" spans="6:8" ht="12.75" customHeight="1" x14ac:dyDescent="0.25">
      <c r="F995" s="36"/>
      <c r="G995" s="36"/>
      <c r="H995" s="36"/>
    </row>
    <row r="996" spans="6:8" ht="12.75" customHeight="1" x14ac:dyDescent="0.25">
      <c r="F996" s="36"/>
      <c r="G996" s="36"/>
      <c r="H996" s="36"/>
    </row>
    <row r="997" spans="6:8" ht="12.75" customHeight="1" x14ac:dyDescent="0.25">
      <c r="F997" s="36"/>
      <c r="G997" s="36"/>
      <c r="H997" s="36"/>
    </row>
    <row r="998" spans="6:8" ht="12.75" customHeight="1" x14ac:dyDescent="0.25">
      <c r="F998" s="36"/>
      <c r="G998" s="36"/>
      <c r="H998" s="36"/>
    </row>
    <row r="999" spans="6:8" ht="12.75" customHeight="1" x14ac:dyDescent="0.25">
      <c r="F999" s="36"/>
      <c r="G999" s="36"/>
      <c r="H999" s="36"/>
    </row>
    <row r="1000" spans="6:8" ht="12.75" customHeight="1" x14ac:dyDescent="0.25">
      <c r="F1000" s="36"/>
      <c r="G1000" s="36"/>
      <c r="H1000" s="36"/>
    </row>
    <row r="1001" spans="6:8" ht="12.75" customHeight="1" x14ac:dyDescent="0.25">
      <c r="F1001" s="36"/>
      <c r="G1001" s="36"/>
      <c r="H1001" s="36"/>
    </row>
  </sheetData>
  <phoneticPr fontId="17" type="noConversion"/>
  <dataValidations disablePrompts="1" count="1">
    <dataValidation type="list" allowBlank="1" showErrorMessage="1" sqref="F1" xr:uid="{00000000-0002-0000-0600-000001000000}">
      <formula1>Years</formula1>
    </dataValidation>
  </dataValidations>
  <pageMargins left="0.75" right="0.75" top="1" bottom="1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1003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4296875" defaultRowHeight="15" customHeight="1" x14ac:dyDescent="0.25"/>
  <cols>
    <col min="1" max="1" width="6.1796875" customWidth="1"/>
    <col min="2" max="2" width="5" customWidth="1"/>
    <col min="3" max="3" width="9.453125" customWidth="1"/>
    <col min="4" max="4" width="10.54296875" customWidth="1"/>
    <col min="5" max="5" width="36.1796875" customWidth="1"/>
    <col min="6" max="6" width="13.453125" customWidth="1"/>
    <col min="7" max="8" width="14.81640625" customWidth="1"/>
    <col min="9" max="9" width="11.81640625" customWidth="1"/>
    <col min="10" max="10" width="14.453125" customWidth="1"/>
    <col min="11" max="11" width="11" customWidth="1"/>
    <col min="12" max="12" width="15.1796875" customWidth="1"/>
    <col min="13" max="13" width="11.81640625" customWidth="1"/>
    <col min="14" max="14" width="16.81640625" customWidth="1"/>
    <col min="15" max="16" width="11.1796875" customWidth="1"/>
    <col min="17" max="26" width="8.54296875" customWidth="1"/>
  </cols>
  <sheetData>
    <row r="1" spans="1:26" ht="12.75" customHeight="1" x14ac:dyDescent="0.3">
      <c r="C1" s="30" t="s">
        <v>123</v>
      </c>
      <c r="D1" s="160" t="s">
        <v>135</v>
      </c>
      <c r="E1" s="102"/>
      <c r="F1" s="102"/>
      <c r="G1" s="148" t="s">
        <v>119</v>
      </c>
      <c r="H1" s="34"/>
      <c r="I1" s="145"/>
      <c r="J1" s="102"/>
      <c r="K1" s="51"/>
      <c r="L1" s="51"/>
    </row>
    <row r="2" spans="1:26" ht="12.75" customHeight="1" x14ac:dyDescent="0.3">
      <c r="D2" t="s">
        <v>134</v>
      </c>
      <c r="E2" s="102"/>
      <c r="F2" s="146"/>
      <c r="G2" s="149">
        <v>3</v>
      </c>
      <c r="H2" s="103"/>
      <c r="I2" s="151" t="s">
        <v>41</v>
      </c>
      <c r="J2" s="102"/>
      <c r="K2" s="51"/>
    </row>
    <row r="3" spans="1:26" ht="12.75" customHeight="1" x14ac:dyDescent="0.35">
      <c r="A3" s="30">
        <f>COUNTIF(A5:A65542, "&lt;&gt;")+4</f>
        <v>151</v>
      </c>
      <c r="B3">
        <f>MAX(B5:B853)</f>
        <v>2022</v>
      </c>
      <c r="D3" s="35" cm="1">
        <f t="array" ref="D3">INDEX(D5:D65541, A3)</f>
        <v>0</v>
      </c>
      <c r="E3" s="120"/>
      <c r="F3" s="103"/>
      <c r="G3" s="147" t="s">
        <v>40</v>
      </c>
      <c r="H3" s="150" cm="1">
        <f t="array" ref="H3">INDEX(H5:H65541, A3)</f>
        <v>0</v>
      </c>
      <c r="I3" s="154">
        <v>45717</v>
      </c>
      <c r="J3" s="103"/>
      <c r="K3" s="67" t="s">
        <v>63</v>
      </c>
    </row>
    <row r="4" spans="1:26" ht="12.75" customHeight="1" x14ac:dyDescent="0.3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3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26" ht="12.75" customHeight="1" x14ac:dyDescent="0.3">
      <c r="A6" s="166" t="s">
        <v>120</v>
      </c>
      <c r="D6" s="166" t="s">
        <v>124</v>
      </c>
    </row>
    <row r="7" spans="1:26" ht="12.75" customHeight="1" x14ac:dyDescent="0.35">
      <c r="A7" s="37">
        <f t="shared" ref="A7:A42" si="0">MONTH(D7)</f>
        <v>1</v>
      </c>
      <c r="B7" s="37">
        <f t="shared" ref="B7:B42" si="1">YEAR(D7)</f>
        <v>2019</v>
      </c>
      <c r="C7" s="37" t="str">
        <f t="shared" ref="C7:C105" si="2">IFERROR("Rent: "&amp;FIND("Rent",E7),IFERROR("Priv Tax: "&amp;FIND("Tax",E7), IFERROR("Income: "&amp;FIND("Payment",E7,1),"")))</f>
        <v/>
      </c>
      <c r="D7" s="28">
        <v>43469</v>
      </c>
      <c r="E7" s="70" t="s">
        <v>49</v>
      </c>
      <c r="F7" s="36"/>
      <c r="G7" s="36">
        <v>2800</v>
      </c>
      <c r="H7" s="38">
        <f>G7-F7</f>
        <v>2800</v>
      </c>
      <c r="K7" s="15"/>
      <c r="L7" s="71"/>
    </row>
    <row r="8" spans="1:26" ht="12.75" customHeight="1" x14ac:dyDescent="0.35">
      <c r="A8" s="37">
        <f t="shared" si="0"/>
        <v>1</v>
      </c>
      <c r="B8" s="37">
        <f t="shared" si="1"/>
        <v>2019</v>
      </c>
      <c r="C8" s="37" t="str">
        <f t="shared" si="2"/>
        <v/>
      </c>
      <c r="D8" s="28">
        <v>43469</v>
      </c>
      <c r="E8" s="70" t="s">
        <v>66</v>
      </c>
      <c r="F8" s="36"/>
      <c r="G8" s="36">
        <v>400</v>
      </c>
      <c r="H8" s="38">
        <f t="shared" ref="H8:H41" si="3">H7+G8-F8</f>
        <v>3200</v>
      </c>
      <c r="K8" s="15"/>
      <c r="L8" s="71"/>
      <c r="M8" s="15"/>
    </row>
    <row r="9" spans="1:26" ht="12.75" customHeight="1" x14ac:dyDescent="0.25">
      <c r="A9" s="37">
        <f t="shared" si="0"/>
        <v>1</v>
      </c>
      <c r="B9" s="37">
        <f t="shared" si="1"/>
        <v>2019</v>
      </c>
      <c r="C9" s="37" t="str">
        <f t="shared" si="2"/>
        <v>Income: 1</v>
      </c>
      <c r="D9" s="28">
        <v>43469</v>
      </c>
      <c r="E9" s="29" t="s">
        <v>67</v>
      </c>
      <c r="F9" s="36">
        <v>6000</v>
      </c>
      <c r="G9" s="36"/>
      <c r="H9" s="38">
        <f t="shared" si="3"/>
        <v>-2800</v>
      </c>
      <c r="K9" s="15"/>
      <c r="M9" s="15"/>
    </row>
    <row r="10" spans="1:26" ht="12.75" customHeight="1" x14ac:dyDescent="0.25">
      <c r="A10" s="37">
        <f t="shared" si="0"/>
        <v>2</v>
      </c>
      <c r="B10" s="37">
        <f t="shared" si="1"/>
        <v>2019</v>
      </c>
      <c r="C10" s="37" t="str">
        <f t="shared" si="2"/>
        <v>Rent: 1</v>
      </c>
      <c r="D10" s="40" t="str">
        <f>MONTH(D9)+1 &amp; "/5/" &amp; YEAR(D9)</f>
        <v>2/5/2019</v>
      </c>
      <c r="E10" s="39" t="str">
        <f>"Rent: "&amp;LOOKUP(A10-1, Months, TextMonths)&amp;" '"&amp;B10</f>
        <v>Rent: Feb '2019</v>
      </c>
      <c r="F10" s="36"/>
      <c r="G10" s="36">
        <v>2800</v>
      </c>
      <c r="H10" s="38">
        <f t="shared" si="3"/>
        <v>0</v>
      </c>
      <c r="K10" s="15"/>
    </row>
    <row r="11" spans="1:26" ht="12.75" customHeight="1" x14ac:dyDescent="0.25">
      <c r="A11" s="37">
        <f t="shared" si="0"/>
        <v>3</v>
      </c>
      <c r="B11" s="37">
        <f t="shared" si="1"/>
        <v>2019</v>
      </c>
      <c r="C11" s="37" t="str">
        <f t="shared" si="2"/>
        <v>Rent: 1</v>
      </c>
      <c r="D11" s="40" t="str">
        <f>MONTH(D10)+1 &amp; "/5/" &amp; YEAR(D10)</f>
        <v>3/5/2019</v>
      </c>
      <c r="E11" s="39" t="str">
        <f>"Rent: "&amp;LOOKUP(A11-1, Months, TextMonths)&amp;" '"&amp;B11</f>
        <v>Rent: Mar '2019</v>
      </c>
      <c r="F11" s="36"/>
      <c r="G11" s="36">
        <v>2800</v>
      </c>
      <c r="H11" s="38">
        <f t="shared" si="3"/>
        <v>2800</v>
      </c>
      <c r="K11" s="15"/>
    </row>
    <row r="12" spans="1:26" ht="12.75" customHeight="1" x14ac:dyDescent="0.25">
      <c r="A12" s="37">
        <f t="shared" si="0"/>
        <v>3</v>
      </c>
      <c r="B12" s="37">
        <f t="shared" si="1"/>
        <v>2019</v>
      </c>
      <c r="C12" s="37" t="str">
        <f t="shared" si="2"/>
        <v>Income: 1</v>
      </c>
      <c r="D12" s="28">
        <v>43528</v>
      </c>
      <c r="E12" s="29" t="s">
        <v>68</v>
      </c>
      <c r="F12" s="36">
        <v>2800</v>
      </c>
      <c r="G12" s="36"/>
      <c r="H12" s="38">
        <f t="shared" si="3"/>
        <v>0</v>
      </c>
      <c r="K12" s="15"/>
      <c r="M12" s="15"/>
    </row>
    <row r="13" spans="1:26" ht="12.75" customHeight="1" x14ac:dyDescent="0.25">
      <c r="A13" s="37">
        <f t="shared" si="0"/>
        <v>4</v>
      </c>
      <c r="B13" s="37">
        <f t="shared" si="1"/>
        <v>2019</v>
      </c>
      <c r="C13" s="37" t="str">
        <f t="shared" si="2"/>
        <v>Rent: 1</v>
      </c>
      <c r="D13" s="40" t="str">
        <f>MONTH(D12)+1 &amp; "/5/" &amp; YEAR(D12)</f>
        <v>4/5/2019</v>
      </c>
      <c r="E13" s="39" t="str">
        <f>"Rent: "&amp;LOOKUP(A13-1, Months, TextMonths)&amp;" '"&amp;B13</f>
        <v>Rent: Apr '2019</v>
      </c>
      <c r="F13" s="36"/>
      <c r="G13" s="36">
        <v>2800</v>
      </c>
      <c r="H13" s="38">
        <f t="shared" si="3"/>
        <v>2800</v>
      </c>
      <c r="K13" s="15"/>
    </row>
    <row r="14" spans="1:26" ht="12.75" customHeight="1" x14ac:dyDescent="0.25">
      <c r="A14" s="37">
        <f t="shared" si="0"/>
        <v>4</v>
      </c>
      <c r="B14" s="37">
        <f t="shared" si="1"/>
        <v>2019</v>
      </c>
      <c r="C14" s="37" t="str">
        <f t="shared" si="2"/>
        <v>Income: 1</v>
      </c>
      <c r="D14" s="28">
        <v>43559</v>
      </c>
      <c r="E14" s="29" t="s">
        <v>68</v>
      </c>
      <c r="F14" s="36">
        <v>2800</v>
      </c>
      <c r="G14" s="36"/>
      <c r="H14" s="38">
        <f t="shared" si="3"/>
        <v>0</v>
      </c>
      <c r="K14" s="15"/>
      <c r="M14" s="15"/>
    </row>
    <row r="15" spans="1:26" ht="12.75" customHeight="1" x14ac:dyDescent="0.25">
      <c r="A15" s="37">
        <f t="shared" si="0"/>
        <v>5</v>
      </c>
      <c r="B15" s="37">
        <f t="shared" si="1"/>
        <v>2019</v>
      </c>
      <c r="C15" s="37" t="str">
        <f t="shared" si="2"/>
        <v>Rent: 1</v>
      </c>
      <c r="D15" s="40" t="str">
        <f>MONTH(D14)+1 &amp; "/5/" &amp; YEAR(D14)</f>
        <v>5/5/2019</v>
      </c>
      <c r="E15" s="39" t="str">
        <f>"Rent: "&amp;LOOKUP(A15-1, Months, TextMonths)&amp;" '"&amp;B15</f>
        <v>Rent: May '2019</v>
      </c>
      <c r="F15" s="36"/>
      <c r="G15" s="36">
        <v>2800</v>
      </c>
      <c r="H15" s="38">
        <f t="shared" si="3"/>
        <v>2800</v>
      </c>
      <c r="K15" s="15"/>
    </row>
    <row r="16" spans="1:26" ht="12.75" customHeight="1" x14ac:dyDescent="0.25">
      <c r="A16" s="37">
        <f t="shared" si="0"/>
        <v>5</v>
      </c>
      <c r="B16" s="37">
        <f t="shared" si="1"/>
        <v>2019</v>
      </c>
      <c r="C16" s="37" t="str">
        <f t="shared" si="2"/>
        <v>Income: 1</v>
      </c>
      <c r="D16" s="28">
        <v>43591</v>
      </c>
      <c r="E16" s="29" t="s">
        <v>68</v>
      </c>
      <c r="F16" s="36">
        <v>2800</v>
      </c>
      <c r="G16" s="36"/>
      <c r="H16" s="38">
        <f t="shared" si="3"/>
        <v>0</v>
      </c>
      <c r="K16" s="15"/>
      <c r="M16" s="15"/>
    </row>
    <row r="17" spans="1:13" ht="12.75" customHeight="1" x14ac:dyDescent="0.25">
      <c r="A17" s="37">
        <f t="shared" si="0"/>
        <v>6</v>
      </c>
      <c r="B17" s="37">
        <f t="shared" si="1"/>
        <v>2019</v>
      </c>
      <c r="C17" s="37" t="str">
        <f t="shared" si="2"/>
        <v>Rent: 1</v>
      </c>
      <c r="D17" s="40" t="str">
        <f>MONTH(D16)+1 &amp; "/5/" &amp; YEAR(D16)</f>
        <v>6/5/2019</v>
      </c>
      <c r="E17" s="39" t="str">
        <f>"Rent: "&amp;LOOKUP(A17-1, Months, TextMonths)&amp;" '"&amp;B17</f>
        <v>Rent: Jun '2019</v>
      </c>
      <c r="F17" s="36"/>
      <c r="G17" s="36">
        <v>2800</v>
      </c>
      <c r="H17" s="38">
        <f t="shared" si="3"/>
        <v>2800</v>
      </c>
      <c r="K17" s="15"/>
    </row>
    <row r="18" spans="1:13" ht="12.75" customHeight="1" x14ac:dyDescent="0.25">
      <c r="A18" s="37">
        <f t="shared" si="0"/>
        <v>6</v>
      </c>
      <c r="B18" s="37">
        <f t="shared" si="1"/>
        <v>2019</v>
      </c>
      <c r="C18" s="37" t="str">
        <f t="shared" si="2"/>
        <v>Income: 1</v>
      </c>
      <c r="D18" s="28">
        <v>43620</v>
      </c>
      <c r="E18" s="29" t="s">
        <v>68</v>
      </c>
      <c r="F18" s="36">
        <v>2800</v>
      </c>
      <c r="G18" s="36"/>
      <c r="H18" s="38">
        <f t="shared" si="3"/>
        <v>0</v>
      </c>
      <c r="K18" s="15"/>
      <c r="M18" s="15"/>
    </row>
    <row r="19" spans="1:13" ht="12.75" customHeight="1" x14ac:dyDescent="0.25">
      <c r="A19" s="37">
        <f t="shared" si="0"/>
        <v>7</v>
      </c>
      <c r="B19" s="37">
        <f t="shared" si="1"/>
        <v>2019</v>
      </c>
      <c r="C19" s="37" t="str">
        <f t="shared" si="2"/>
        <v>Rent: 1</v>
      </c>
      <c r="D19" s="40" t="str">
        <f>MONTH(D18)+1 &amp; "/5/" &amp; YEAR(D18)</f>
        <v>7/5/2019</v>
      </c>
      <c r="E19" s="39" t="str">
        <f>"Rent: "&amp;LOOKUP(A19-1, Months, TextMonths)&amp;" '"&amp;B19</f>
        <v>Rent: Jul '2019</v>
      </c>
      <c r="F19" s="36"/>
      <c r="G19" s="36">
        <v>2800</v>
      </c>
      <c r="H19" s="38">
        <f t="shared" si="3"/>
        <v>2800</v>
      </c>
      <c r="K19" s="15"/>
    </row>
    <row r="20" spans="1:13" ht="12.75" customHeight="1" x14ac:dyDescent="0.25">
      <c r="A20" s="37">
        <f t="shared" si="0"/>
        <v>7</v>
      </c>
      <c r="B20" s="37">
        <f t="shared" si="1"/>
        <v>2019</v>
      </c>
      <c r="C20" s="37" t="str">
        <f t="shared" si="2"/>
        <v>Income: 1</v>
      </c>
      <c r="D20" s="28">
        <v>43649</v>
      </c>
      <c r="E20" s="29" t="s">
        <v>68</v>
      </c>
      <c r="F20" s="36">
        <v>2500</v>
      </c>
      <c r="G20" s="36"/>
      <c r="H20" s="38">
        <f t="shared" si="3"/>
        <v>300</v>
      </c>
      <c r="K20" s="15"/>
      <c r="M20" s="15"/>
    </row>
    <row r="21" spans="1:13" ht="12.75" customHeight="1" x14ac:dyDescent="0.25">
      <c r="A21" s="37">
        <f t="shared" si="0"/>
        <v>7</v>
      </c>
      <c r="B21" s="37">
        <f t="shared" si="1"/>
        <v>2019</v>
      </c>
      <c r="C21" s="37" t="str">
        <f t="shared" si="2"/>
        <v>Income: 1</v>
      </c>
      <c r="D21" s="28">
        <v>43649</v>
      </c>
      <c r="E21" s="29" t="s">
        <v>68</v>
      </c>
      <c r="F21" s="36">
        <v>300</v>
      </c>
      <c r="G21" s="36"/>
      <c r="H21" s="38">
        <f t="shared" si="3"/>
        <v>0</v>
      </c>
      <c r="K21" s="15"/>
      <c r="M21" s="15"/>
    </row>
    <row r="22" spans="1:13" ht="12.75" customHeight="1" x14ac:dyDescent="0.25">
      <c r="A22" s="37">
        <f t="shared" si="0"/>
        <v>8</v>
      </c>
      <c r="B22" s="37">
        <f t="shared" si="1"/>
        <v>2019</v>
      </c>
      <c r="C22" s="37" t="str">
        <f t="shared" si="2"/>
        <v>Rent: 1</v>
      </c>
      <c r="D22" s="40" t="str">
        <f>MONTH(D21)+1 &amp; "/5/" &amp; YEAR(D21)</f>
        <v>8/5/2019</v>
      </c>
      <c r="E22" s="39" t="str">
        <f>"Rent: "&amp;LOOKUP(A22-1, Months, TextMonths)&amp;" '"&amp;B22</f>
        <v>Rent: Aug '2019</v>
      </c>
      <c r="F22" s="36"/>
      <c r="G22" s="36">
        <v>2800</v>
      </c>
      <c r="H22" s="38">
        <f t="shared" si="3"/>
        <v>2800</v>
      </c>
      <c r="K22" s="15"/>
    </row>
    <row r="23" spans="1:13" ht="12.75" customHeight="1" x14ac:dyDescent="0.25">
      <c r="A23" s="37">
        <f t="shared" si="0"/>
        <v>8</v>
      </c>
      <c r="B23" s="37">
        <f t="shared" si="1"/>
        <v>2019</v>
      </c>
      <c r="C23" s="37" t="str">
        <f t="shared" si="2"/>
        <v>Income: 1</v>
      </c>
      <c r="D23" s="28">
        <v>43682</v>
      </c>
      <c r="E23" s="29" t="s">
        <v>68</v>
      </c>
      <c r="F23" s="36">
        <v>2500</v>
      </c>
      <c r="G23" s="36"/>
      <c r="H23" s="38">
        <f t="shared" si="3"/>
        <v>300</v>
      </c>
      <c r="I23" s="30"/>
      <c r="K23" s="15"/>
      <c r="M23" s="15"/>
    </row>
    <row r="24" spans="1:13" ht="12.75" customHeight="1" x14ac:dyDescent="0.25">
      <c r="A24" s="37">
        <f t="shared" si="0"/>
        <v>8</v>
      </c>
      <c r="B24" s="37">
        <f t="shared" si="1"/>
        <v>2019</v>
      </c>
      <c r="C24" s="37" t="str">
        <f t="shared" si="2"/>
        <v>Income: 1</v>
      </c>
      <c r="D24" s="28">
        <v>43683</v>
      </c>
      <c r="E24" s="29" t="s">
        <v>68</v>
      </c>
      <c r="F24" s="36">
        <v>300</v>
      </c>
      <c r="G24" s="36"/>
      <c r="H24" s="38">
        <f t="shared" si="3"/>
        <v>0</v>
      </c>
      <c r="I24" s="30"/>
      <c r="K24" s="15"/>
      <c r="M24" s="15"/>
    </row>
    <row r="25" spans="1:13" ht="12.75" customHeight="1" x14ac:dyDescent="0.25">
      <c r="A25" s="37">
        <f t="shared" si="0"/>
        <v>9</v>
      </c>
      <c r="B25" s="37">
        <f t="shared" si="1"/>
        <v>2019</v>
      </c>
      <c r="C25" s="37" t="str">
        <f t="shared" si="2"/>
        <v>Rent: 1</v>
      </c>
      <c r="D25" s="40" t="str">
        <f>MONTH(D24)+1 &amp; "/5/" &amp; YEAR(D24)</f>
        <v>9/5/2019</v>
      </c>
      <c r="E25" s="39" t="str">
        <f>"Rent: "&amp;LOOKUP(A25-1, Months, TextMonths)&amp;" '"&amp;B25</f>
        <v>Rent: Sep '2019</v>
      </c>
      <c r="F25" s="36"/>
      <c r="G25" s="36">
        <v>2800</v>
      </c>
      <c r="H25" s="38">
        <f t="shared" si="3"/>
        <v>2800</v>
      </c>
      <c r="K25" s="15"/>
    </row>
    <row r="26" spans="1:13" ht="12.75" customHeight="1" x14ac:dyDescent="0.25">
      <c r="A26" s="37">
        <f t="shared" si="0"/>
        <v>9</v>
      </c>
      <c r="B26" s="37">
        <f t="shared" si="1"/>
        <v>2019</v>
      </c>
      <c r="C26" s="37" t="str">
        <f t="shared" si="2"/>
        <v>Income: 1</v>
      </c>
      <c r="D26" s="28">
        <v>43711</v>
      </c>
      <c r="E26" s="29" t="s">
        <v>68</v>
      </c>
      <c r="F26" s="36">
        <v>2500</v>
      </c>
      <c r="G26" s="36"/>
      <c r="H26" s="38">
        <f t="shared" si="3"/>
        <v>300</v>
      </c>
      <c r="I26" s="30"/>
      <c r="K26" s="15"/>
      <c r="M26" s="15"/>
    </row>
    <row r="27" spans="1:13" ht="12.75" customHeight="1" x14ac:dyDescent="0.25">
      <c r="A27" s="37">
        <f t="shared" si="0"/>
        <v>9</v>
      </c>
      <c r="B27" s="37">
        <f t="shared" si="1"/>
        <v>2019</v>
      </c>
      <c r="C27" s="37" t="str">
        <f t="shared" si="2"/>
        <v>Income: 1</v>
      </c>
      <c r="D27" s="28">
        <v>43712</v>
      </c>
      <c r="E27" s="29" t="s">
        <v>68</v>
      </c>
      <c r="F27" s="36">
        <v>300</v>
      </c>
      <c r="G27" s="36"/>
      <c r="H27" s="38">
        <f t="shared" si="3"/>
        <v>0</v>
      </c>
      <c r="I27" s="30"/>
      <c r="K27" s="15"/>
      <c r="M27" s="15"/>
    </row>
    <row r="28" spans="1:13" ht="12.75" customHeight="1" x14ac:dyDescent="0.25">
      <c r="A28" s="37">
        <f t="shared" si="0"/>
        <v>10</v>
      </c>
      <c r="B28" s="37">
        <f t="shared" si="1"/>
        <v>2019</v>
      </c>
      <c r="C28" s="37" t="str">
        <f t="shared" si="2"/>
        <v>Rent: 1</v>
      </c>
      <c r="D28" s="40" t="str">
        <f>MONTH(D27)+1 &amp; "/5/" &amp; YEAR(D27)</f>
        <v>10/5/2019</v>
      </c>
      <c r="E28" s="39" t="str">
        <f>"Rent: "&amp;LOOKUP(A28-1, Months, TextMonths)&amp;" '"&amp;B28</f>
        <v>Rent: Oct '2019</v>
      </c>
      <c r="F28" s="36"/>
      <c r="G28" s="36">
        <v>2800</v>
      </c>
      <c r="H28" s="38">
        <f t="shared" si="3"/>
        <v>2800</v>
      </c>
    </row>
    <row r="29" spans="1:13" ht="12.75" customHeight="1" x14ac:dyDescent="0.25">
      <c r="A29" s="37">
        <f t="shared" si="0"/>
        <v>10</v>
      </c>
      <c r="B29" s="37">
        <f t="shared" si="1"/>
        <v>2019</v>
      </c>
      <c r="C29" s="37" t="str">
        <f t="shared" si="2"/>
        <v>Income: 1</v>
      </c>
      <c r="D29" s="28">
        <v>43740</v>
      </c>
      <c r="E29" s="29" t="s">
        <v>68</v>
      </c>
      <c r="F29" s="36">
        <v>2500</v>
      </c>
      <c r="G29" s="36"/>
      <c r="H29" s="38">
        <f t="shared" si="3"/>
        <v>300</v>
      </c>
      <c r="I29" s="30"/>
    </row>
    <row r="30" spans="1:13" ht="12.75" customHeight="1" x14ac:dyDescent="0.25">
      <c r="A30" s="37">
        <f t="shared" si="0"/>
        <v>10</v>
      </c>
      <c r="B30" s="37">
        <f t="shared" si="1"/>
        <v>2019</v>
      </c>
      <c r="C30" s="37" t="str">
        <f t="shared" si="2"/>
        <v>Income: 1</v>
      </c>
      <c r="D30" s="28">
        <v>43745</v>
      </c>
      <c r="E30" s="29" t="s">
        <v>68</v>
      </c>
      <c r="F30" s="36">
        <v>300</v>
      </c>
      <c r="G30" s="36"/>
      <c r="H30" s="38">
        <f t="shared" si="3"/>
        <v>0</v>
      </c>
      <c r="I30" s="30"/>
    </row>
    <row r="31" spans="1:13" ht="12.75" customHeight="1" x14ac:dyDescent="0.25">
      <c r="A31" s="37">
        <f t="shared" si="0"/>
        <v>11</v>
      </c>
      <c r="B31" s="37">
        <f t="shared" si="1"/>
        <v>2019</v>
      </c>
      <c r="C31" s="37" t="str">
        <f t="shared" si="2"/>
        <v>Rent: 1</v>
      </c>
      <c r="D31" s="40" t="str">
        <f>MONTH(D30)+1 &amp; "/5/" &amp; YEAR(D30)</f>
        <v>11/5/2019</v>
      </c>
      <c r="E31" s="39" t="str">
        <f>"Rent: "&amp;LOOKUP(A31-1, Months, TextMonths)&amp;" '"&amp;B31</f>
        <v>Rent: Nov '2019</v>
      </c>
      <c r="F31" s="36"/>
      <c r="G31" s="36">
        <v>2800</v>
      </c>
      <c r="H31" s="38">
        <f t="shared" si="3"/>
        <v>2800</v>
      </c>
      <c r="I31" s="39"/>
      <c r="J31" s="30"/>
      <c r="K31" s="30"/>
    </row>
    <row r="32" spans="1:13" ht="12.75" customHeight="1" x14ac:dyDescent="0.25">
      <c r="A32" s="37">
        <f t="shared" si="0"/>
        <v>11</v>
      </c>
      <c r="B32" s="37">
        <f t="shared" si="1"/>
        <v>2019</v>
      </c>
      <c r="C32" s="37" t="str">
        <f t="shared" si="2"/>
        <v>Income: 1</v>
      </c>
      <c r="D32" s="28">
        <v>43773</v>
      </c>
      <c r="E32" s="29" t="s">
        <v>68</v>
      </c>
      <c r="F32" s="36">
        <v>2500</v>
      </c>
      <c r="G32" s="36"/>
      <c r="H32" s="38">
        <f t="shared" si="3"/>
        <v>300</v>
      </c>
      <c r="I32" s="15"/>
      <c r="J32" s="15"/>
    </row>
    <row r="33" spans="1:11" ht="12.75" customHeight="1" x14ac:dyDescent="0.25">
      <c r="A33" s="37">
        <f t="shared" si="0"/>
        <v>11</v>
      </c>
      <c r="B33" s="37">
        <f t="shared" si="1"/>
        <v>2019</v>
      </c>
      <c r="C33" s="37" t="str">
        <f t="shared" si="2"/>
        <v>Income: 1</v>
      </c>
      <c r="D33" s="28">
        <v>43775</v>
      </c>
      <c r="E33" s="29" t="s">
        <v>68</v>
      </c>
      <c r="F33" s="36">
        <v>300</v>
      </c>
      <c r="G33" s="36"/>
      <c r="H33" s="38">
        <f t="shared" si="3"/>
        <v>0</v>
      </c>
      <c r="I33" s="29"/>
    </row>
    <row r="34" spans="1:11" ht="12.75" customHeight="1" x14ac:dyDescent="0.25">
      <c r="A34" s="37">
        <f t="shared" si="0"/>
        <v>12</v>
      </c>
      <c r="B34" s="37">
        <f t="shared" si="1"/>
        <v>2019</v>
      </c>
      <c r="C34" s="37" t="str">
        <f t="shared" si="2"/>
        <v>Rent: 1</v>
      </c>
      <c r="D34" s="40" t="str">
        <f>MONTH(D33)+1 &amp; "/5/" &amp; YEAR(D33)</f>
        <v>12/5/2019</v>
      </c>
      <c r="E34" s="39" t="str">
        <f>"Rent: "&amp;LOOKUP(A34-1, Months, TextMonths)&amp;" '"&amp;B34</f>
        <v>Rent: Dec '2019</v>
      </c>
      <c r="F34" s="36"/>
      <c r="G34" s="36">
        <v>2800</v>
      </c>
      <c r="H34" s="38">
        <f t="shared" si="3"/>
        <v>2800</v>
      </c>
    </row>
    <row r="35" spans="1:11" ht="12.75" customHeight="1" x14ac:dyDescent="0.25">
      <c r="A35" s="37">
        <f t="shared" si="0"/>
        <v>12</v>
      </c>
      <c r="B35" s="37">
        <f t="shared" si="1"/>
        <v>2019</v>
      </c>
      <c r="C35" s="37" t="str">
        <f t="shared" si="2"/>
        <v>Income: 1</v>
      </c>
      <c r="D35" s="28">
        <v>43801</v>
      </c>
      <c r="E35" s="29" t="s">
        <v>68</v>
      </c>
      <c r="F35" s="36">
        <v>2500</v>
      </c>
      <c r="G35" s="36"/>
      <c r="H35" s="38">
        <f t="shared" si="3"/>
        <v>300</v>
      </c>
      <c r="I35" s="30"/>
    </row>
    <row r="36" spans="1:11" ht="12.75" customHeight="1" x14ac:dyDescent="0.25">
      <c r="A36" s="37">
        <f t="shared" si="0"/>
        <v>12</v>
      </c>
      <c r="B36" s="37">
        <f t="shared" si="1"/>
        <v>2019</v>
      </c>
      <c r="C36" s="37" t="str">
        <f t="shared" si="2"/>
        <v>Income: 1</v>
      </c>
      <c r="D36" s="28">
        <v>43801</v>
      </c>
      <c r="E36" s="29" t="s">
        <v>68</v>
      </c>
      <c r="F36" s="36">
        <v>300</v>
      </c>
      <c r="G36" s="36"/>
      <c r="H36" s="38">
        <f t="shared" si="3"/>
        <v>0</v>
      </c>
      <c r="I36" s="29"/>
    </row>
    <row r="37" spans="1:11" ht="12.75" customHeight="1" x14ac:dyDescent="0.25">
      <c r="A37" s="37">
        <f t="shared" si="0"/>
        <v>1</v>
      </c>
      <c r="B37" s="37">
        <f t="shared" si="1"/>
        <v>2019</v>
      </c>
      <c r="C37" s="37" t="str">
        <f t="shared" si="2"/>
        <v>Rent: 1</v>
      </c>
      <c r="D37" s="40" t="str">
        <f>MOD(MONTH(D36)+1, 12) &amp; "/5/" &amp; YEAR(D36)</f>
        <v>1/5/2019</v>
      </c>
      <c r="E37" s="39" t="str">
        <f>"Rent: "&amp;LOOKUP(A37-1, Months, TextMonths)&amp;" '"&amp;B37</f>
        <v>Rent: Jan '2019</v>
      </c>
      <c r="F37" s="36"/>
      <c r="G37" s="36">
        <v>2800</v>
      </c>
      <c r="H37" s="38">
        <f t="shared" si="3"/>
        <v>2800</v>
      </c>
    </row>
    <row r="38" spans="1:11" ht="12.75" customHeight="1" x14ac:dyDescent="0.25">
      <c r="A38" s="37">
        <f t="shared" si="0"/>
        <v>1</v>
      </c>
      <c r="B38" s="37">
        <f t="shared" si="1"/>
        <v>2020</v>
      </c>
      <c r="C38" s="37" t="str">
        <f t="shared" si="2"/>
        <v>Income: 1</v>
      </c>
      <c r="D38" s="28">
        <v>43832</v>
      </c>
      <c r="E38" s="29" t="s">
        <v>68</v>
      </c>
      <c r="F38" s="36">
        <v>2500</v>
      </c>
      <c r="G38" s="36"/>
      <c r="H38" s="38">
        <f t="shared" si="3"/>
        <v>300</v>
      </c>
      <c r="I38" s="30"/>
      <c r="J38" s="30"/>
    </row>
    <row r="39" spans="1:11" ht="12.75" customHeight="1" x14ac:dyDescent="0.25">
      <c r="A39" s="37">
        <f t="shared" si="0"/>
        <v>1</v>
      </c>
      <c r="B39" s="37">
        <f t="shared" si="1"/>
        <v>2020</v>
      </c>
      <c r="C39" s="37" t="str">
        <f t="shared" si="2"/>
        <v>Income: 1</v>
      </c>
      <c r="D39" s="28">
        <v>43836</v>
      </c>
      <c r="E39" s="29" t="s">
        <v>68</v>
      </c>
      <c r="F39" s="36">
        <v>300</v>
      </c>
      <c r="G39" s="36"/>
      <c r="H39" s="38">
        <f t="shared" si="3"/>
        <v>0</v>
      </c>
      <c r="I39" s="29"/>
      <c r="J39" s="29"/>
    </row>
    <row r="40" spans="1:11" ht="12.75" customHeight="1" x14ac:dyDescent="0.25">
      <c r="A40" s="37">
        <f t="shared" si="0"/>
        <v>2</v>
      </c>
      <c r="B40" s="37">
        <f t="shared" si="1"/>
        <v>2020</v>
      </c>
      <c r="C40" s="37" t="str">
        <f t="shared" si="2"/>
        <v>Rent: 1</v>
      </c>
      <c r="D40" s="40" t="str">
        <f>MOD(MONTH(D39)+1, 12) &amp; "/5/" &amp; YEAR(D39)</f>
        <v>2/5/2020</v>
      </c>
      <c r="E40" s="39" t="str">
        <f>"Rent: "&amp;LOOKUP(A40-1, Months, TextMonths)&amp;" '"&amp;B40</f>
        <v>Rent: Feb '2020</v>
      </c>
      <c r="F40" s="36"/>
      <c r="G40" s="36">
        <v>1738</v>
      </c>
      <c r="H40" s="38">
        <f t="shared" si="3"/>
        <v>1738</v>
      </c>
      <c r="I40" s="29"/>
      <c r="J40" s="29"/>
    </row>
    <row r="41" spans="1:11" ht="12.75" customHeight="1" x14ac:dyDescent="0.25">
      <c r="A41" s="37">
        <f t="shared" si="0"/>
        <v>2</v>
      </c>
      <c r="B41" s="37">
        <f t="shared" si="1"/>
        <v>2020</v>
      </c>
      <c r="C41" s="37" t="str">
        <f t="shared" si="2"/>
        <v>Income: 1</v>
      </c>
      <c r="D41" s="28">
        <v>43871</v>
      </c>
      <c r="E41" s="29" t="s">
        <v>51</v>
      </c>
      <c r="F41" s="36">
        <v>1738</v>
      </c>
      <c r="G41" s="36"/>
      <c r="H41" s="38">
        <f t="shared" si="3"/>
        <v>0</v>
      </c>
      <c r="I41" s="30"/>
      <c r="J41" s="29"/>
    </row>
    <row r="42" spans="1:11" ht="12.75" customHeight="1" x14ac:dyDescent="0.25">
      <c r="A42" s="37">
        <f t="shared" si="0"/>
        <v>3</v>
      </c>
      <c r="B42" s="37">
        <f t="shared" si="1"/>
        <v>2020</v>
      </c>
      <c r="C42" s="37" t="str">
        <f t="shared" si="2"/>
        <v/>
      </c>
      <c r="D42" s="28">
        <v>43908</v>
      </c>
      <c r="E42" s="29" t="s">
        <v>69</v>
      </c>
      <c r="F42" s="36">
        <v>2800</v>
      </c>
      <c r="G42" s="36"/>
      <c r="H42" s="38"/>
      <c r="I42" s="29"/>
      <c r="J42" s="29"/>
    </row>
    <row r="43" spans="1:11" ht="12.75" customHeight="1" x14ac:dyDescent="0.3">
      <c r="A43" s="55">
        <f>MONTH(D43)</f>
        <v>2</v>
      </c>
      <c r="B43" s="55">
        <f>YEAR(D43)</f>
        <v>2020</v>
      </c>
      <c r="C43" s="55" t="str">
        <f t="shared" si="2"/>
        <v/>
      </c>
      <c r="D43" s="165">
        <v>43879</v>
      </c>
      <c r="E43" s="173" t="s">
        <v>148</v>
      </c>
      <c r="F43" s="56"/>
      <c r="G43" s="56"/>
      <c r="H43" s="56"/>
    </row>
    <row r="44" spans="1:11" ht="12.75" customHeight="1" x14ac:dyDescent="0.3">
      <c r="A44" s="166" t="s">
        <v>120</v>
      </c>
      <c r="C44" s="166"/>
      <c r="D44" s="166" t="s">
        <v>153</v>
      </c>
      <c r="E44" t="s">
        <v>154</v>
      </c>
    </row>
    <row r="45" spans="1:11" ht="12.75" customHeight="1" x14ac:dyDescent="0.25">
      <c r="A45" s="37">
        <f t="shared" ref="A45:A105" si="4">MONTH(D45)</f>
        <v>3</v>
      </c>
      <c r="B45" s="37">
        <f t="shared" ref="B45:B105" si="5">YEAR(D45)</f>
        <v>2020</v>
      </c>
      <c r="C45" s="37" t="str">
        <f t="shared" si="2"/>
        <v>Rent: 1</v>
      </c>
      <c r="D45" s="40">
        <v>43899</v>
      </c>
      <c r="E45" s="39" t="str">
        <f>"Rent: "&amp;LOOKUP(A45, Months, TextMonths)&amp;" '"&amp;B45</f>
        <v>Rent: Apr '2020</v>
      </c>
      <c r="F45" s="36"/>
      <c r="G45" s="36">
        <v>3200</v>
      </c>
      <c r="H45" s="38">
        <f>H43+G45-F45</f>
        <v>3200</v>
      </c>
      <c r="I45" s="29"/>
    </row>
    <row r="46" spans="1:11" ht="12.75" customHeight="1" x14ac:dyDescent="0.25">
      <c r="A46" s="37">
        <f t="shared" si="4"/>
        <v>3</v>
      </c>
      <c r="B46" s="37">
        <f t="shared" si="5"/>
        <v>2020</v>
      </c>
      <c r="C46" s="37" t="str">
        <f t="shared" si="2"/>
        <v>Income: 1</v>
      </c>
      <c r="D46" s="28">
        <v>43900</v>
      </c>
      <c r="E46" s="29" t="s">
        <v>51</v>
      </c>
      <c r="F46" s="36">
        <v>1000</v>
      </c>
      <c r="G46" s="36"/>
      <c r="H46" s="38">
        <f t="shared" ref="H46:H133" si="6">H45+G46-F46</f>
        <v>2200</v>
      </c>
      <c r="I46" s="30"/>
    </row>
    <row r="47" spans="1:11" ht="12.75" customHeight="1" x14ac:dyDescent="0.35">
      <c r="A47" s="37">
        <f t="shared" si="4"/>
        <v>3</v>
      </c>
      <c r="B47" s="37">
        <f t="shared" si="5"/>
        <v>2020</v>
      </c>
      <c r="C47" s="37" t="str">
        <f t="shared" si="2"/>
        <v/>
      </c>
      <c r="D47" s="28">
        <v>43891</v>
      </c>
      <c r="E47" s="70" t="s">
        <v>49</v>
      </c>
      <c r="F47" s="36"/>
      <c r="G47" s="36">
        <v>3200</v>
      </c>
      <c r="H47" s="38">
        <f t="shared" si="6"/>
        <v>5400</v>
      </c>
      <c r="J47" s="36"/>
      <c r="K47" s="15"/>
    </row>
    <row r="48" spans="1:11" ht="12.75" customHeight="1" x14ac:dyDescent="0.25">
      <c r="A48" s="37">
        <f t="shared" si="4"/>
        <v>3</v>
      </c>
      <c r="B48" s="37">
        <f t="shared" si="5"/>
        <v>2020</v>
      </c>
      <c r="C48" s="37" t="str">
        <f t="shared" si="2"/>
        <v>Income: 1</v>
      </c>
      <c r="D48" s="28">
        <v>43892</v>
      </c>
      <c r="E48" s="29" t="s">
        <v>51</v>
      </c>
      <c r="F48" s="36">
        <v>2000</v>
      </c>
      <c r="G48" s="36"/>
      <c r="H48" s="38">
        <f t="shared" si="6"/>
        <v>3400</v>
      </c>
      <c r="I48" s="29"/>
      <c r="K48" s="15"/>
    </row>
    <row r="49" spans="1:16" ht="12.75" customHeight="1" x14ac:dyDescent="0.25">
      <c r="A49" s="37">
        <f t="shared" si="4"/>
        <v>3</v>
      </c>
      <c r="B49" s="37">
        <f t="shared" si="5"/>
        <v>2020</v>
      </c>
      <c r="C49" s="37" t="str">
        <f t="shared" si="2"/>
        <v>Income: 1</v>
      </c>
      <c r="D49" s="28">
        <v>43893</v>
      </c>
      <c r="E49" s="29" t="s">
        <v>51</v>
      </c>
      <c r="F49" s="36">
        <v>3400</v>
      </c>
      <c r="G49" s="36"/>
      <c r="H49" s="38">
        <f t="shared" si="6"/>
        <v>0</v>
      </c>
      <c r="I49" s="29"/>
      <c r="K49" s="15"/>
    </row>
    <row r="50" spans="1:16" ht="12.75" customHeight="1" x14ac:dyDescent="0.25">
      <c r="A50" s="37">
        <f t="shared" si="4"/>
        <v>4</v>
      </c>
      <c r="B50" s="37">
        <f t="shared" si="5"/>
        <v>2020</v>
      </c>
      <c r="C50" s="37" t="str">
        <f t="shared" si="2"/>
        <v>Rent: 1</v>
      </c>
      <c r="D50" s="40" t="str">
        <f>MOD(MONTH(D47)+1, 12) &amp; "/5/" &amp; YEAR(D47)</f>
        <v>4/5/2020</v>
      </c>
      <c r="E50" s="39" t="str">
        <f>"Rent: "&amp;LOOKUP(A50-1, Months, TextMonths)&amp;" '"&amp;B50</f>
        <v>Rent: Apr '2020</v>
      </c>
      <c r="F50" s="36"/>
      <c r="G50" s="36">
        <v>3200</v>
      </c>
      <c r="H50" s="38">
        <f t="shared" si="6"/>
        <v>3200</v>
      </c>
      <c r="I50" s="29"/>
    </row>
    <row r="51" spans="1:16" ht="12.75" customHeight="1" x14ac:dyDescent="0.25">
      <c r="A51" s="37">
        <f t="shared" si="4"/>
        <v>4</v>
      </c>
      <c r="B51" s="37">
        <f t="shared" si="5"/>
        <v>2020</v>
      </c>
      <c r="C51" s="37" t="str">
        <f t="shared" si="2"/>
        <v>Income: 1</v>
      </c>
      <c r="D51" s="28">
        <v>43922</v>
      </c>
      <c r="E51" s="29" t="s">
        <v>51</v>
      </c>
      <c r="F51" s="36">
        <v>2000</v>
      </c>
      <c r="G51" s="36"/>
      <c r="H51" s="38">
        <f t="shared" si="6"/>
        <v>1200</v>
      </c>
      <c r="I51" s="30"/>
    </row>
    <row r="52" spans="1:16" ht="12.75" customHeight="1" x14ac:dyDescent="0.25">
      <c r="A52" s="37">
        <f t="shared" si="4"/>
        <v>4</v>
      </c>
      <c r="B52" s="37">
        <f t="shared" si="5"/>
        <v>2020</v>
      </c>
      <c r="C52" s="37" t="str">
        <f t="shared" si="2"/>
        <v>Income: 1</v>
      </c>
      <c r="D52" s="28">
        <v>43923</v>
      </c>
      <c r="E52" s="29" t="s">
        <v>51</v>
      </c>
      <c r="F52" s="36">
        <v>1080</v>
      </c>
      <c r="G52" s="36"/>
      <c r="H52" s="38">
        <f t="shared" si="6"/>
        <v>120</v>
      </c>
      <c r="I52" s="30"/>
    </row>
    <row r="53" spans="1:16" ht="12.75" customHeight="1" x14ac:dyDescent="0.25">
      <c r="A53" s="37">
        <f t="shared" si="4"/>
        <v>4</v>
      </c>
      <c r="B53" s="37">
        <f t="shared" si="5"/>
        <v>2020</v>
      </c>
      <c r="C53" s="37" t="str">
        <f t="shared" si="2"/>
        <v/>
      </c>
      <c r="D53" s="28">
        <v>43923</v>
      </c>
      <c r="E53" s="29" t="s">
        <v>70</v>
      </c>
      <c r="F53" s="36">
        <v>120</v>
      </c>
      <c r="G53" s="36"/>
      <c r="H53" s="38">
        <f t="shared" si="6"/>
        <v>0</v>
      </c>
    </row>
    <row r="54" spans="1:16" ht="12.75" customHeight="1" x14ac:dyDescent="0.25">
      <c r="A54" s="37">
        <f t="shared" si="4"/>
        <v>5</v>
      </c>
      <c r="B54" s="37">
        <f t="shared" si="5"/>
        <v>2020</v>
      </c>
      <c r="C54" s="37" t="str">
        <f t="shared" si="2"/>
        <v>Rent: 1</v>
      </c>
      <c r="D54" s="40" t="str">
        <f>MOD(MONTH(D51)+1, 12) &amp; "/5/" &amp; YEAR(D51)</f>
        <v>5/5/2020</v>
      </c>
      <c r="E54" s="39" t="str">
        <f>"Rent: "&amp;LOOKUP(A54-1, Months, TextMonths)&amp;" '"&amp;B54</f>
        <v>Rent: May '2020</v>
      </c>
      <c r="F54" s="36"/>
      <c r="G54" s="36">
        <v>3200</v>
      </c>
      <c r="H54" s="38">
        <f t="shared" si="6"/>
        <v>3200</v>
      </c>
      <c r="I54" s="29"/>
    </row>
    <row r="55" spans="1:16" ht="12.75" customHeight="1" x14ac:dyDescent="0.25">
      <c r="A55" s="37">
        <f t="shared" si="4"/>
        <v>5</v>
      </c>
      <c r="B55" s="37">
        <f t="shared" si="5"/>
        <v>2020</v>
      </c>
      <c r="C55" s="37" t="str">
        <f t="shared" si="2"/>
        <v>Income: 1</v>
      </c>
      <c r="D55" s="28">
        <v>43952</v>
      </c>
      <c r="E55" s="29" t="s">
        <v>51</v>
      </c>
      <c r="F55" s="36">
        <v>2000</v>
      </c>
      <c r="G55" s="36"/>
      <c r="H55" s="38">
        <f t="shared" si="6"/>
        <v>1200</v>
      </c>
      <c r="I55" s="30"/>
    </row>
    <row r="56" spans="1:16" ht="12.75" customHeight="1" x14ac:dyDescent="0.25">
      <c r="A56" s="37">
        <f t="shared" si="4"/>
        <v>5</v>
      </c>
      <c r="B56" s="37">
        <f t="shared" si="5"/>
        <v>2020</v>
      </c>
      <c r="C56" s="37" t="str">
        <f t="shared" si="2"/>
        <v>Income: 1</v>
      </c>
      <c r="D56" s="28">
        <v>43955</v>
      </c>
      <c r="E56" s="29" t="s">
        <v>51</v>
      </c>
      <c r="F56" s="36">
        <v>1200</v>
      </c>
      <c r="G56" s="36"/>
      <c r="H56" s="38">
        <f t="shared" si="6"/>
        <v>0</v>
      </c>
    </row>
    <row r="57" spans="1:16" ht="12.75" customHeight="1" x14ac:dyDescent="0.25">
      <c r="A57" s="37">
        <f t="shared" si="4"/>
        <v>6</v>
      </c>
      <c r="B57" s="37">
        <f t="shared" si="5"/>
        <v>2020</v>
      </c>
      <c r="C57" s="37" t="str">
        <f t="shared" si="2"/>
        <v>Rent: 1</v>
      </c>
      <c r="D57" s="40" t="str">
        <f>MOD(MONTH(D54)+1, 12) &amp; "/5/" &amp; YEAR(D54)</f>
        <v>6/5/2020</v>
      </c>
      <c r="E57" s="39" t="str">
        <f>"Rent: "&amp;LOOKUP(A57-1, Months, TextMonths)&amp;" '"&amp;B57</f>
        <v>Rent: Jun '2020</v>
      </c>
      <c r="F57" s="36"/>
      <c r="G57" s="36">
        <v>3200</v>
      </c>
      <c r="H57" s="38">
        <f t="shared" si="6"/>
        <v>3200</v>
      </c>
      <c r="I57" s="29"/>
      <c r="N57" s="72"/>
      <c r="O57" s="72"/>
    </row>
    <row r="58" spans="1:16" ht="12.75" customHeight="1" x14ac:dyDescent="0.25">
      <c r="A58" s="37">
        <f t="shared" si="4"/>
        <v>6</v>
      </c>
      <c r="B58" s="37">
        <f t="shared" si="5"/>
        <v>2020</v>
      </c>
      <c r="C58" s="37" t="str">
        <f t="shared" si="2"/>
        <v>Income: 1</v>
      </c>
      <c r="D58" s="28">
        <v>43983</v>
      </c>
      <c r="E58" s="29" t="s">
        <v>51</v>
      </c>
      <c r="F58" s="36">
        <v>2000</v>
      </c>
      <c r="G58" s="36"/>
      <c r="H58" s="38">
        <f t="shared" si="6"/>
        <v>1200</v>
      </c>
      <c r="I58" s="30"/>
      <c r="N58" s="28"/>
      <c r="P58" s="72"/>
    </row>
    <row r="59" spans="1:16" ht="12.75" customHeight="1" x14ac:dyDescent="0.25">
      <c r="A59" s="37">
        <f t="shared" si="4"/>
        <v>6</v>
      </c>
      <c r="B59" s="37">
        <f t="shared" si="5"/>
        <v>2020</v>
      </c>
      <c r="C59" s="37" t="str">
        <f t="shared" si="2"/>
        <v>Income: 1</v>
      </c>
      <c r="D59" s="28">
        <v>43984</v>
      </c>
      <c r="E59" s="29" t="s">
        <v>51</v>
      </c>
      <c r="F59" s="36">
        <v>1200</v>
      </c>
      <c r="G59" s="36"/>
      <c r="H59" s="38">
        <f t="shared" si="6"/>
        <v>0</v>
      </c>
      <c r="L59" s="36"/>
      <c r="N59" s="28"/>
      <c r="P59" s="72"/>
    </row>
    <row r="60" spans="1:16" ht="12.75" customHeight="1" x14ac:dyDescent="0.25">
      <c r="A60" s="37">
        <f t="shared" si="4"/>
        <v>7</v>
      </c>
      <c r="B60" s="37">
        <f t="shared" si="5"/>
        <v>2020</v>
      </c>
      <c r="C60" s="37" t="str">
        <f t="shared" si="2"/>
        <v>Rent: 1</v>
      </c>
      <c r="D60" s="40" t="str">
        <f>MOD(MONTH(D57)+1, 12) &amp; "/5/" &amp; YEAR(D57)</f>
        <v>7/5/2020</v>
      </c>
      <c r="E60" s="39" t="str">
        <f>"Rent: "&amp;LOOKUP(A60-1, Months, TextMonths)&amp;" '"&amp;B60</f>
        <v>Rent: Jul '2020</v>
      </c>
      <c r="F60" s="36"/>
      <c r="G60" s="36">
        <v>3200</v>
      </c>
      <c r="H60" s="38">
        <f t="shared" si="6"/>
        <v>3200</v>
      </c>
      <c r="N60" s="28"/>
      <c r="P60" s="72"/>
    </row>
    <row r="61" spans="1:16" ht="12.75" customHeight="1" x14ac:dyDescent="0.25">
      <c r="A61" s="37">
        <f t="shared" si="4"/>
        <v>7</v>
      </c>
      <c r="B61" s="37">
        <f t="shared" si="5"/>
        <v>2020</v>
      </c>
      <c r="C61" s="37" t="str">
        <f t="shared" si="2"/>
        <v>Income: 1</v>
      </c>
      <c r="D61" s="28">
        <v>44018</v>
      </c>
      <c r="E61" s="29" t="s">
        <v>51</v>
      </c>
      <c r="F61" s="36">
        <v>2000</v>
      </c>
      <c r="G61" s="36"/>
      <c r="H61" s="38">
        <f t="shared" si="6"/>
        <v>1200</v>
      </c>
      <c r="N61" s="28"/>
      <c r="P61" s="72"/>
    </row>
    <row r="62" spans="1:16" ht="12.75" customHeight="1" x14ac:dyDescent="0.25">
      <c r="A62" s="37">
        <f t="shared" si="4"/>
        <v>7</v>
      </c>
      <c r="B62" s="37">
        <f t="shared" si="5"/>
        <v>2020</v>
      </c>
      <c r="C62" s="37" t="str">
        <f t="shared" si="2"/>
        <v>Income: 1</v>
      </c>
      <c r="D62" s="28">
        <v>44019</v>
      </c>
      <c r="E62" s="29" t="s">
        <v>51</v>
      </c>
      <c r="F62" s="36">
        <v>1200</v>
      </c>
      <c r="G62" s="36"/>
      <c r="H62" s="38">
        <f t="shared" si="6"/>
        <v>0</v>
      </c>
      <c r="I62" s="36"/>
      <c r="N62" s="28"/>
      <c r="P62" s="72"/>
    </row>
    <row r="63" spans="1:16" ht="12.75" customHeight="1" x14ac:dyDescent="0.25">
      <c r="A63" s="37">
        <f t="shared" si="4"/>
        <v>8</v>
      </c>
      <c r="B63" s="37">
        <f t="shared" si="5"/>
        <v>2020</v>
      </c>
      <c r="C63" s="37" t="str">
        <f t="shared" si="2"/>
        <v>Rent: 1</v>
      </c>
      <c r="D63" s="40" t="str">
        <f>MOD(MONTH(D60)+1, 12) &amp; "/5/" &amp; YEAR(D60)</f>
        <v>8/5/2020</v>
      </c>
      <c r="E63" s="39" t="str">
        <f>"Rent: "&amp;LOOKUP(A63-1, Months, TextMonths)&amp;" '"&amp;B63</f>
        <v>Rent: Aug '2020</v>
      </c>
      <c r="F63" s="36"/>
      <c r="G63" s="36">
        <v>3200</v>
      </c>
      <c r="H63" s="38">
        <f t="shared" si="6"/>
        <v>3200</v>
      </c>
      <c r="N63" s="28"/>
      <c r="P63" s="72"/>
    </row>
    <row r="64" spans="1:16" ht="12.75" customHeight="1" x14ac:dyDescent="0.25">
      <c r="A64" s="37">
        <f t="shared" si="4"/>
        <v>8</v>
      </c>
      <c r="B64" s="37">
        <f t="shared" si="5"/>
        <v>2020</v>
      </c>
      <c r="C64" s="37" t="str">
        <f t="shared" si="2"/>
        <v>Income: 1</v>
      </c>
      <c r="D64" s="28">
        <v>44046</v>
      </c>
      <c r="E64" s="29" t="s">
        <v>51</v>
      </c>
      <c r="F64" s="66">
        <v>200</v>
      </c>
      <c r="G64" s="36"/>
      <c r="H64" s="38">
        <f t="shared" si="6"/>
        <v>3000</v>
      </c>
      <c r="J64" s="29"/>
      <c r="K64" s="30"/>
      <c r="N64" s="28"/>
      <c r="P64" s="72"/>
    </row>
    <row r="65" spans="1:16" ht="12.75" customHeight="1" x14ac:dyDescent="0.25">
      <c r="A65" s="37">
        <f t="shared" si="4"/>
        <v>8</v>
      </c>
      <c r="B65" s="37">
        <f t="shared" si="5"/>
        <v>2020</v>
      </c>
      <c r="C65" s="37" t="str">
        <f t="shared" si="2"/>
        <v>Income: 1</v>
      </c>
      <c r="D65" s="28">
        <v>44046</v>
      </c>
      <c r="E65" s="29" t="s">
        <v>51</v>
      </c>
      <c r="F65" s="66">
        <v>2000</v>
      </c>
      <c r="G65" s="36"/>
      <c r="H65" s="38">
        <f t="shared" si="6"/>
        <v>1000</v>
      </c>
      <c r="I65" s="36"/>
      <c r="J65" s="30"/>
      <c r="K65" s="29"/>
      <c r="M65" s="36"/>
      <c r="N65" s="28"/>
      <c r="P65" s="72"/>
    </row>
    <row r="66" spans="1:16" ht="12.75" customHeight="1" x14ac:dyDescent="0.25">
      <c r="A66" s="37">
        <f t="shared" si="4"/>
        <v>9</v>
      </c>
      <c r="B66" s="37">
        <f t="shared" si="5"/>
        <v>2020</v>
      </c>
      <c r="C66" s="37" t="str">
        <f t="shared" si="2"/>
        <v>Rent: 1</v>
      </c>
      <c r="D66" s="40" t="str">
        <f>MOD(MONTH(D63)+1, 12) &amp; "/5/" &amp; YEAR(D63)</f>
        <v>9/5/2020</v>
      </c>
      <c r="E66" s="39" t="str">
        <f>"Rent: "&amp;LOOKUP(A66-1, Months, TextMonths)&amp;" '"&amp;B66</f>
        <v>Rent: Sep '2020</v>
      </c>
      <c r="F66" s="36"/>
      <c r="G66" s="36">
        <v>3200</v>
      </c>
      <c r="H66" s="38">
        <f t="shared" si="6"/>
        <v>4200</v>
      </c>
      <c r="N66" s="28"/>
      <c r="P66" s="72"/>
    </row>
    <row r="67" spans="1:16" ht="12.75" customHeight="1" x14ac:dyDescent="0.25">
      <c r="A67" s="37">
        <f t="shared" si="4"/>
        <v>9</v>
      </c>
      <c r="B67" s="37">
        <f t="shared" si="5"/>
        <v>2020</v>
      </c>
      <c r="C67" s="37" t="str">
        <f t="shared" si="2"/>
        <v>Income: 1</v>
      </c>
      <c r="D67" s="28">
        <v>44076</v>
      </c>
      <c r="E67" s="29" t="s">
        <v>51</v>
      </c>
      <c r="F67" s="66">
        <v>1500</v>
      </c>
      <c r="G67" s="36"/>
      <c r="H67" s="38">
        <f t="shared" si="6"/>
        <v>2700</v>
      </c>
      <c r="M67" s="36"/>
      <c r="N67" s="28"/>
      <c r="O67" s="72"/>
      <c r="P67" s="72"/>
    </row>
    <row r="68" spans="1:16" ht="12.75" customHeight="1" x14ac:dyDescent="0.25">
      <c r="A68" s="37">
        <f t="shared" si="4"/>
        <v>9</v>
      </c>
      <c r="B68" s="37">
        <f t="shared" si="5"/>
        <v>2020</v>
      </c>
      <c r="C68" s="37" t="str">
        <f t="shared" si="2"/>
        <v>Income: 1</v>
      </c>
      <c r="D68" s="28">
        <v>44077</v>
      </c>
      <c r="E68" s="29" t="s">
        <v>51</v>
      </c>
      <c r="F68" s="66">
        <v>700</v>
      </c>
      <c r="G68" s="36"/>
      <c r="H68" s="38">
        <f t="shared" si="6"/>
        <v>2000</v>
      </c>
      <c r="I68" s="36"/>
      <c r="J68" s="30"/>
      <c r="N68" s="28"/>
      <c r="P68" s="72"/>
    </row>
    <row r="69" spans="1:16" ht="12.75" customHeight="1" x14ac:dyDescent="0.25">
      <c r="A69" s="37">
        <f t="shared" si="4"/>
        <v>10</v>
      </c>
      <c r="B69" s="37">
        <f t="shared" si="5"/>
        <v>2020</v>
      </c>
      <c r="C69" s="37" t="str">
        <f t="shared" si="2"/>
        <v>Rent: 1</v>
      </c>
      <c r="D69" s="40" t="str">
        <f>MOD(MONTH(D66)+1, 12) &amp; "/5/" &amp; YEAR(D66)</f>
        <v>10/5/2020</v>
      </c>
      <c r="E69" s="39" t="str">
        <f>"Rent: "&amp;LOOKUP(A69-1, Months, TextMonths)&amp;" '"&amp;B69</f>
        <v>Rent: Oct '2020</v>
      </c>
      <c r="F69" s="36"/>
      <c r="G69" s="36">
        <v>3200</v>
      </c>
      <c r="H69" s="38">
        <f t="shared" si="6"/>
        <v>5200</v>
      </c>
      <c r="N69" s="28"/>
      <c r="P69" s="72"/>
    </row>
    <row r="70" spans="1:16" ht="12.75" customHeight="1" x14ac:dyDescent="0.25">
      <c r="A70" s="37">
        <f t="shared" si="4"/>
        <v>10</v>
      </c>
      <c r="B70" s="37">
        <f t="shared" si="5"/>
        <v>2020</v>
      </c>
      <c r="C70" s="37" t="str">
        <f t="shared" si="2"/>
        <v>Income: 1</v>
      </c>
      <c r="D70" s="28">
        <v>44109</v>
      </c>
      <c r="E70" s="29" t="s">
        <v>51</v>
      </c>
      <c r="F70" s="66">
        <v>2000</v>
      </c>
      <c r="G70" s="36"/>
      <c r="H70" s="38">
        <f t="shared" si="6"/>
        <v>3200</v>
      </c>
      <c r="N70" s="28"/>
      <c r="P70" s="72"/>
    </row>
    <row r="71" spans="1:16" ht="12.75" customHeight="1" x14ac:dyDescent="0.25">
      <c r="A71" s="37">
        <f t="shared" si="4"/>
        <v>10</v>
      </c>
      <c r="B71" s="37">
        <f t="shared" si="5"/>
        <v>2020</v>
      </c>
      <c r="C71" s="37" t="str">
        <f t="shared" si="2"/>
        <v>Income: 1</v>
      </c>
      <c r="D71" s="28">
        <v>44109</v>
      </c>
      <c r="E71" s="29" t="s">
        <v>51</v>
      </c>
      <c r="F71" s="66">
        <v>200</v>
      </c>
      <c r="G71" s="36"/>
      <c r="H71" s="38">
        <f t="shared" si="6"/>
        <v>3000</v>
      </c>
      <c r="I71" s="36"/>
      <c r="J71" s="30"/>
      <c r="K71" s="30"/>
      <c r="N71" s="28"/>
      <c r="P71" s="72"/>
    </row>
    <row r="72" spans="1:16" ht="12.75" customHeight="1" x14ac:dyDescent="0.25">
      <c r="A72" s="37">
        <f t="shared" si="4"/>
        <v>11</v>
      </c>
      <c r="B72" s="37">
        <f t="shared" si="5"/>
        <v>2020</v>
      </c>
      <c r="C72" s="37" t="str">
        <f t="shared" si="2"/>
        <v>Rent: 1</v>
      </c>
      <c r="D72" s="40" t="str">
        <f>MOD(MONTH(D69)+1, 12) &amp; "/5/" &amp; YEAR(D69)</f>
        <v>11/5/2020</v>
      </c>
      <c r="E72" s="39" t="str">
        <f>"Rent: "&amp;LOOKUP(A72-1, Months, TextMonths)&amp;" '"&amp;B72</f>
        <v>Rent: Nov '2020</v>
      </c>
      <c r="F72" s="36"/>
      <c r="G72" s="36">
        <v>3200</v>
      </c>
      <c r="H72" s="38">
        <f t="shared" si="6"/>
        <v>6200</v>
      </c>
      <c r="K72" s="36"/>
      <c r="N72" s="28"/>
      <c r="P72" s="72"/>
    </row>
    <row r="73" spans="1:16" ht="12.75" customHeight="1" x14ac:dyDescent="0.25">
      <c r="A73" s="37">
        <f t="shared" si="4"/>
        <v>11</v>
      </c>
      <c r="B73" s="37">
        <f t="shared" si="5"/>
        <v>2020</v>
      </c>
      <c r="C73" s="37" t="str">
        <f t="shared" si="2"/>
        <v>Income: 1</v>
      </c>
      <c r="D73" s="28">
        <v>44138</v>
      </c>
      <c r="E73" s="29" t="s">
        <v>51</v>
      </c>
      <c r="F73" s="66">
        <v>2000</v>
      </c>
      <c r="G73" s="36"/>
      <c r="H73" s="38">
        <f t="shared" si="6"/>
        <v>4200</v>
      </c>
      <c r="N73" s="28"/>
      <c r="P73" s="72"/>
    </row>
    <row r="74" spans="1:16" ht="12.75" customHeight="1" x14ac:dyDescent="0.25">
      <c r="A74" s="37">
        <f t="shared" si="4"/>
        <v>11</v>
      </c>
      <c r="B74" s="37">
        <f t="shared" si="5"/>
        <v>2020</v>
      </c>
      <c r="C74" s="37" t="str">
        <f t="shared" si="2"/>
        <v>Income: 1</v>
      </c>
      <c r="D74" s="28">
        <v>44139</v>
      </c>
      <c r="E74" s="29" t="s">
        <v>51</v>
      </c>
      <c r="F74" s="66">
        <v>1700</v>
      </c>
      <c r="G74" s="36"/>
      <c r="H74" s="38">
        <f t="shared" si="6"/>
        <v>2500</v>
      </c>
      <c r="I74" s="36"/>
      <c r="J74" s="30"/>
      <c r="N74" s="28"/>
      <c r="P74" s="72"/>
    </row>
    <row r="75" spans="1:16" ht="12.75" customHeight="1" x14ac:dyDescent="0.25">
      <c r="A75" s="37">
        <f t="shared" si="4"/>
        <v>12</v>
      </c>
      <c r="B75" s="37">
        <f t="shared" si="5"/>
        <v>2020</v>
      </c>
      <c r="C75" s="37" t="str">
        <f t="shared" si="2"/>
        <v>Rent: 1</v>
      </c>
      <c r="D75" s="40" t="str">
        <f>MOD(MONTH(D72)+1, 13) &amp; "/5/" &amp; YEAR(D72)</f>
        <v>12/5/2020</v>
      </c>
      <c r="E75" s="39" t="str">
        <f>"Rent: "&amp;LOOKUP(A75-1, Months, TextMonths)&amp;" '"&amp;B75</f>
        <v>Rent: Dec '2020</v>
      </c>
      <c r="F75" s="36"/>
      <c r="G75" s="36">
        <v>3200</v>
      </c>
      <c r="H75" s="38">
        <f t="shared" si="6"/>
        <v>5700</v>
      </c>
      <c r="L75" s="36"/>
      <c r="N75" s="28"/>
      <c r="P75" s="72"/>
    </row>
    <row r="76" spans="1:16" ht="12.75" customHeight="1" x14ac:dyDescent="0.25">
      <c r="A76" s="37">
        <f t="shared" si="4"/>
        <v>12</v>
      </c>
      <c r="B76" s="37">
        <f t="shared" si="5"/>
        <v>2020</v>
      </c>
      <c r="C76" s="37" t="str">
        <f t="shared" si="2"/>
        <v>Income: 1</v>
      </c>
      <c r="D76" s="28">
        <v>44169</v>
      </c>
      <c r="E76" s="29" t="s">
        <v>51</v>
      </c>
      <c r="F76" s="66">
        <v>2000</v>
      </c>
      <c r="G76" s="36"/>
      <c r="H76" s="38">
        <f t="shared" si="6"/>
        <v>3700</v>
      </c>
      <c r="N76" s="28"/>
      <c r="P76" s="72"/>
    </row>
    <row r="77" spans="1:16" ht="12.75" customHeight="1" x14ac:dyDescent="0.25">
      <c r="A77" s="37">
        <f t="shared" si="4"/>
        <v>12</v>
      </c>
      <c r="B77" s="37">
        <f t="shared" si="5"/>
        <v>2020</v>
      </c>
      <c r="C77" s="37" t="str">
        <f t="shared" si="2"/>
        <v>Income: 1</v>
      </c>
      <c r="D77" s="28">
        <v>44172</v>
      </c>
      <c r="E77" s="29" t="s">
        <v>51</v>
      </c>
      <c r="F77" s="66">
        <v>1700</v>
      </c>
      <c r="G77" s="36"/>
      <c r="H77" s="38">
        <f t="shared" si="6"/>
        <v>2000</v>
      </c>
      <c r="I77" s="36"/>
      <c r="J77" s="30"/>
      <c r="N77" s="28"/>
      <c r="P77" s="72"/>
    </row>
    <row r="78" spans="1:16" ht="12.75" customHeight="1" x14ac:dyDescent="0.25">
      <c r="A78" s="37">
        <f t="shared" si="4"/>
        <v>1</v>
      </c>
      <c r="B78" s="37">
        <f t="shared" si="5"/>
        <v>2021</v>
      </c>
      <c r="C78" s="37" t="str">
        <f t="shared" si="2"/>
        <v>Rent: 1</v>
      </c>
      <c r="D78" s="40" t="str">
        <f>MOD(MONTH(D77), 12)+1 &amp; "/1/" &amp; IF(MONTH(D77)&gt;11, YEAR(D77)+1, YEAR(D77))</f>
        <v>1/1/2021</v>
      </c>
      <c r="E78" s="39" t="str">
        <f>"Rent: "&amp;LOOKUP(A78-1, Months, TextMonths)&amp;" '"&amp;B78</f>
        <v>Rent: Jan '2021</v>
      </c>
      <c r="F78" s="36"/>
      <c r="G78" s="36">
        <v>3200</v>
      </c>
      <c r="H78" s="38">
        <f t="shared" si="6"/>
        <v>5200</v>
      </c>
      <c r="N78" s="28"/>
      <c r="P78" s="72"/>
    </row>
    <row r="79" spans="1:16" ht="12.75" customHeight="1" x14ac:dyDescent="0.25">
      <c r="A79" s="37">
        <f t="shared" si="4"/>
        <v>1</v>
      </c>
      <c r="B79" s="37">
        <f t="shared" si="5"/>
        <v>2021</v>
      </c>
      <c r="C79" s="37" t="str">
        <f t="shared" si="2"/>
        <v>Income: 1</v>
      </c>
      <c r="D79" s="28">
        <v>44202</v>
      </c>
      <c r="E79" s="29" t="s">
        <v>51</v>
      </c>
      <c r="F79" s="66">
        <v>2000</v>
      </c>
      <c r="G79" s="36"/>
      <c r="H79" s="38">
        <f t="shared" si="6"/>
        <v>3200</v>
      </c>
      <c r="N79" s="28"/>
      <c r="P79" s="72"/>
    </row>
    <row r="80" spans="1:16" ht="12.75" customHeight="1" x14ac:dyDescent="0.25">
      <c r="A80" s="37">
        <f t="shared" si="4"/>
        <v>1</v>
      </c>
      <c r="B80" s="37">
        <f t="shared" si="5"/>
        <v>2021</v>
      </c>
      <c r="C80" s="37" t="str">
        <f t="shared" si="2"/>
        <v>Income: 1</v>
      </c>
      <c r="D80" s="28">
        <v>44203</v>
      </c>
      <c r="E80" s="29" t="s">
        <v>51</v>
      </c>
      <c r="F80" s="66">
        <v>1700</v>
      </c>
      <c r="G80" s="36"/>
      <c r="H80" s="38">
        <f t="shared" si="6"/>
        <v>1500</v>
      </c>
      <c r="I80" s="36"/>
      <c r="J80" s="30"/>
      <c r="N80" s="28"/>
      <c r="P80" s="72"/>
    </row>
    <row r="81" spans="1:16" ht="12.75" customHeight="1" x14ac:dyDescent="0.25">
      <c r="A81" s="37">
        <f t="shared" si="4"/>
        <v>2</v>
      </c>
      <c r="B81" s="37">
        <f t="shared" si="5"/>
        <v>2021</v>
      </c>
      <c r="C81" s="37" t="str">
        <f t="shared" si="2"/>
        <v>Rent: 1</v>
      </c>
      <c r="D81" s="40" t="str">
        <f>MOD(MONTH(D80), 12)+1 &amp; "/1/" &amp; IF(MONTH(D80)&gt;11, YEAR(D80)+1, YEAR(D80))</f>
        <v>2/1/2021</v>
      </c>
      <c r="E81" s="39" t="str">
        <f>"Rent: "&amp;LOOKUP(A81-1, Months, TextMonths)&amp;" '"&amp;B81</f>
        <v>Rent: Feb '2021</v>
      </c>
      <c r="F81" s="36"/>
      <c r="G81" s="36">
        <v>3200</v>
      </c>
      <c r="H81" s="38">
        <f t="shared" si="6"/>
        <v>4700</v>
      </c>
      <c r="N81" s="28"/>
      <c r="P81" s="72"/>
    </row>
    <row r="82" spans="1:16" ht="12.75" customHeight="1" x14ac:dyDescent="0.25">
      <c r="A82" s="37">
        <f t="shared" si="4"/>
        <v>2</v>
      </c>
      <c r="B82" s="37">
        <f t="shared" si="5"/>
        <v>2021</v>
      </c>
      <c r="C82" s="37" t="str">
        <f t="shared" si="2"/>
        <v>Income: 1</v>
      </c>
      <c r="D82" s="28">
        <v>44230</v>
      </c>
      <c r="E82" s="29" t="s">
        <v>51</v>
      </c>
      <c r="F82" s="66">
        <v>2000</v>
      </c>
      <c r="G82" s="36"/>
      <c r="H82" s="38">
        <f t="shared" si="6"/>
        <v>2700</v>
      </c>
      <c r="N82" s="72"/>
      <c r="P82" s="72"/>
    </row>
    <row r="83" spans="1:16" ht="12.75" customHeight="1" x14ac:dyDescent="0.25">
      <c r="A83" s="37">
        <f t="shared" si="4"/>
        <v>2</v>
      </c>
      <c r="B83" s="37">
        <f t="shared" si="5"/>
        <v>2021</v>
      </c>
      <c r="C83" s="37" t="str">
        <f t="shared" si="2"/>
        <v>Income: 1</v>
      </c>
      <c r="D83" s="28">
        <v>44231</v>
      </c>
      <c r="E83" s="29" t="s">
        <v>51</v>
      </c>
      <c r="F83" s="66">
        <v>1700</v>
      </c>
      <c r="G83" s="36"/>
      <c r="H83" s="38">
        <f t="shared" si="6"/>
        <v>1000</v>
      </c>
      <c r="I83" s="36"/>
      <c r="J83" s="30"/>
      <c r="N83" s="72"/>
    </row>
    <row r="84" spans="1:16" ht="12.75" customHeight="1" x14ac:dyDescent="0.25">
      <c r="A84" s="37">
        <f t="shared" si="4"/>
        <v>3</v>
      </c>
      <c r="B84" s="37">
        <f t="shared" si="5"/>
        <v>2021</v>
      </c>
      <c r="C84" s="37" t="str">
        <f t="shared" si="2"/>
        <v>Rent: 1</v>
      </c>
      <c r="D84" s="40" t="str">
        <f>MOD(MONTH(D83), 12)+1 &amp; "/1/" &amp; IF(MONTH(D83)&gt;11, YEAR(D83)+1, YEAR(D83))</f>
        <v>3/1/2021</v>
      </c>
      <c r="E84" s="39" t="str">
        <f>"Rent: "&amp;LOOKUP(A84-1, Months, TextMonths)&amp;" '"&amp;B84</f>
        <v>Rent: Mar '2021</v>
      </c>
      <c r="F84" s="36"/>
      <c r="G84" s="36">
        <v>3100</v>
      </c>
      <c r="H84" s="38">
        <f t="shared" si="6"/>
        <v>4100</v>
      </c>
      <c r="K84" s="29"/>
      <c r="N84" s="72"/>
    </row>
    <row r="85" spans="1:16" ht="12.75" customHeight="1" x14ac:dyDescent="0.25">
      <c r="A85" s="37">
        <f t="shared" si="4"/>
        <v>3</v>
      </c>
      <c r="B85" s="37">
        <f t="shared" si="5"/>
        <v>2021</v>
      </c>
      <c r="C85" s="37" t="str">
        <f t="shared" si="2"/>
        <v>Income: 1</v>
      </c>
      <c r="D85" s="28">
        <v>44256</v>
      </c>
      <c r="E85" s="29" t="s">
        <v>51</v>
      </c>
      <c r="F85" s="66">
        <v>1200</v>
      </c>
      <c r="G85" s="36"/>
      <c r="H85" s="38">
        <f t="shared" si="6"/>
        <v>2900</v>
      </c>
      <c r="J85" s="30"/>
      <c r="K85" s="30"/>
      <c r="N85" s="72"/>
    </row>
    <row r="86" spans="1:16" ht="12.75" customHeight="1" x14ac:dyDescent="0.25">
      <c r="A86" s="37">
        <f t="shared" si="4"/>
        <v>4</v>
      </c>
      <c r="B86" s="37">
        <f t="shared" si="5"/>
        <v>2021</v>
      </c>
      <c r="C86" s="37" t="str">
        <f t="shared" si="2"/>
        <v>Rent: 1</v>
      </c>
      <c r="D86" s="40" t="str">
        <f>MOD(MONTH(D85), 12)+1 &amp; "/1/" &amp; IF(MONTH(D85)&gt;11, YEAR(D85)+1, YEAR(D85))</f>
        <v>4/1/2021</v>
      </c>
      <c r="E86" s="39" t="str">
        <f>"Rent: "&amp;LOOKUP(A86-1, Months, TextMonths)&amp;" '"&amp;B86</f>
        <v>Rent: Apr '2021</v>
      </c>
      <c r="F86" s="36"/>
      <c r="G86" s="36">
        <v>3100</v>
      </c>
      <c r="H86" s="38">
        <f t="shared" si="6"/>
        <v>6000</v>
      </c>
      <c r="N86" s="72"/>
    </row>
    <row r="87" spans="1:16" ht="12.75" customHeight="1" x14ac:dyDescent="0.25">
      <c r="A87" s="37">
        <f t="shared" si="4"/>
        <v>4</v>
      </c>
      <c r="B87" s="37">
        <f t="shared" si="5"/>
        <v>2021</v>
      </c>
      <c r="C87" s="37" t="str">
        <f t="shared" si="2"/>
        <v>Income: 1</v>
      </c>
      <c r="D87" s="28">
        <v>44291</v>
      </c>
      <c r="E87" s="29" t="s">
        <v>51</v>
      </c>
      <c r="F87" s="36">
        <v>2000</v>
      </c>
      <c r="G87" s="36"/>
      <c r="H87" s="38">
        <f t="shared" si="6"/>
        <v>4000</v>
      </c>
      <c r="N87" s="72"/>
    </row>
    <row r="88" spans="1:16" ht="12.75" customHeight="1" x14ac:dyDescent="0.25">
      <c r="A88" s="37">
        <f t="shared" si="4"/>
        <v>4</v>
      </c>
      <c r="B88" s="37">
        <f t="shared" si="5"/>
        <v>2021</v>
      </c>
      <c r="C88" s="37" t="str">
        <f t="shared" si="2"/>
        <v>Income: 1</v>
      </c>
      <c r="D88" s="28">
        <v>44291</v>
      </c>
      <c r="E88" s="29" t="s">
        <v>51</v>
      </c>
      <c r="F88" s="66">
        <v>1800</v>
      </c>
      <c r="G88" s="36"/>
      <c r="H88" s="38">
        <f t="shared" si="6"/>
        <v>2200</v>
      </c>
      <c r="I88" s="36"/>
      <c r="J88" s="30"/>
      <c r="K88" s="29"/>
      <c r="N88" s="72"/>
    </row>
    <row r="89" spans="1:16" ht="12.75" customHeight="1" x14ac:dyDescent="0.25">
      <c r="A89" s="37">
        <f t="shared" si="4"/>
        <v>4</v>
      </c>
      <c r="B89" s="37">
        <f t="shared" si="5"/>
        <v>2021</v>
      </c>
      <c r="C89" s="37" t="str">
        <f t="shared" si="2"/>
        <v>Income: 1</v>
      </c>
      <c r="D89" s="28">
        <v>44292</v>
      </c>
      <c r="E89" s="29" t="s">
        <v>51</v>
      </c>
      <c r="F89" s="36">
        <v>1000</v>
      </c>
      <c r="G89" s="36"/>
      <c r="H89" s="38">
        <f t="shared" si="6"/>
        <v>1200</v>
      </c>
      <c r="I89" s="36"/>
      <c r="N89" s="72"/>
    </row>
    <row r="90" spans="1:16" ht="12.75" customHeight="1" x14ac:dyDescent="0.25">
      <c r="A90" s="37">
        <f t="shared" si="4"/>
        <v>5</v>
      </c>
      <c r="B90" s="37">
        <f t="shared" si="5"/>
        <v>2021</v>
      </c>
      <c r="C90" s="37" t="str">
        <f t="shared" si="2"/>
        <v>Rent: 1</v>
      </c>
      <c r="D90" s="40" t="str">
        <f>MOD(MONTH(D88), 12)+1 &amp; "/1/" &amp; IF(MONTH(D88)&gt;11, YEAR(D88)+1, YEAR(D88))</f>
        <v>5/1/2021</v>
      </c>
      <c r="E90" s="39" t="str">
        <f>"Rent: "&amp;LOOKUP(A90-1, Months, TextMonths)&amp;" '"&amp;B90</f>
        <v>Rent: May '2021</v>
      </c>
      <c r="F90" s="36"/>
      <c r="G90" s="36">
        <v>3100</v>
      </c>
      <c r="H90" s="38">
        <f t="shared" si="6"/>
        <v>4300</v>
      </c>
      <c r="N90" s="72"/>
    </row>
    <row r="91" spans="1:16" ht="12.75" customHeight="1" x14ac:dyDescent="0.25">
      <c r="A91" s="37">
        <f t="shared" si="4"/>
        <v>5</v>
      </c>
      <c r="B91" s="37">
        <f t="shared" si="5"/>
        <v>2021</v>
      </c>
      <c r="C91" s="37" t="str">
        <f t="shared" si="2"/>
        <v>Income: 1</v>
      </c>
      <c r="D91" s="28">
        <v>44321</v>
      </c>
      <c r="E91" s="29" t="s">
        <v>51</v>
      </c>
      <c r="F91" s="36">
        <v>2000</v>
      </c>
      <c r="G91" s="36"/>
      <c r="H91" s="38">
        <f t="shared" si="6"/>
        <v>2300</v>
      </c>
      <c r="N91" s="72"/>
    </row>
    <row r="92" spans="1:16" ht="12.75" customHeight="1" x14ac:dyDescent="0.25">
      <c r="A92" s="37">
        <f t="shared" si="4"/>
        <v>5</v>
      </c>
      <c r="B92" s="37">
        <f t="shared" si="5"/>
        <v>2021</v>
      </c>
      <c r="C92" s="37" t="str">
        <f t="shared" si="2"/>
        <v>Income: 1</v>
      </c>
      <c r="D92" s="28">
        <v>44322</v>
      </c>
      <c r="E92" s="29" t="s">
        <v>51</v>
      </c>
      <c r="F92" s="36">
        <v>1100</v>
      </c>
      <c r="G92" s="36"/>
      <c r="H92" s="38">
        <f t="shared" si="6"/>
        <v>1200</v>
      </c>
      <c r="I92" s="36"/>
      <c r="N92" s="72"/>
    </row>
    <row r="93" spans="1:16" ht="12.75" customHeight="1" x14ac:dyDescent="0.25">
      <c r="A93" s="37">
        <f t="shared" si="4"/>
        <v>6</v>
      </c>
      <c r="B93" s="37">
        <f t="shared" si="5"/>
        <v>2021</v>
      </c>
      <c r="C93" s="37" t="str">
        <f t="shared" si="2"/>
        <v>Rent: 1</v>
      </c>
      <c r="D93" s="40" t="str">
        <f>MOD(MONTH(D92), 12)+1 &amp; "/1/" &amp; IF(MONTH(D92)&gt;11, YEAR(D92)+1, YEAR(D92))</f>
        <v>6/1/2021</v>
      </c>
      <c r="E93" s="39" t="str">
        <f>"Rent: "&amp;LOOKUP(A93-1, Months, TextMonths)&amp;" '"&amp;B93</f>
        <v>Rent: Jun '2021</v>
      </c>
      <c r="F93" s="36"/>
      <c r="G93" s="36">
        <v>3100</v>
      </c>
      <c r="H93" s="38">
        <f t="shared" si="6"/>
        <v>4300</v>
      </c>
      <c r="N93" s="72"/>
    </row>
    <row r="94" spans="1:16" ht="12.75" customHeight="1" x14ac:dyDescent="0.25">
      <c r="A94" s="37">
        <f t="shared" si="4"/>
        <v>6</v>
      </c>
      <c r="B94" s="37">
        <f t="shared" si="5"/>
        <v>2021</v>
      </c>
      <c r="C94" s="37" t="str">
        <f t="shared" si="2"/>
        <v>Income: 1</v>
      </c>
      <c r="D94" s="28">
        <v>44351</v>
      </c>
      <c r="E94" s="29" t="s">
        <v>51</v>
      </c>
      <c r="F94" s="36">
        <v>2000</v>
      </c>
      <c r="G94" s="36"/>
      <c r="H94" s="38">
        <f t="shared" si="6"/>
        <v>2300</v>
      </c>
      <c r="N94" s="72"/>
    </row>
    <row r="95" spans="1:16" ht="12.75" customHeight="1" x14ac:dyDescent="0.25">
      <c r="A95" s="37">
        <f t="shared" si="4"/>
        <v>6</v>
      </c>
      <c r="B95" s="37">
        <f t="shared" si="5"/>
        <v>2021</v>
      </c>
      <c r="C95" s="37" t="str">
        <f t="shared" si="2"/>
        <v>Income: 1</v>
      </c>
      <c r="D95" s="28">
        <v>44350</v>
      </c>
      <c r="E95" s="29" t="s">
        <v>51</v>
      </c>
      <c r="F95" s="36">
        <v>1100</v>
      </c>
      <c r="G95" s="36"/>
      <c r="H95" s="38">
        <f t="shared" si="6"/>
        <v>1200</v>
      </c>
      <c r="I95" s="36"/>
    </row>
    <row r="96" spans="1:16" ht="12.75" customHeight="1" x14ac:dyDescent="0.25">
      <c r="A96" s="37">
        <f t="shared" si="4"/>
        <v>7</v>
      </c>
      <c r="B96" s="37">
        <f t="shared" si="5"/>
        <v>2021</v>
      </c>
      <c r="C96" s="37" t="str">
        <f t="shared" si="2"/>
        <v>Rent: 1</v>
      </c>
      <c r="D96" s="40" t="str">
        <f>MOD(MONTH(D95), 12)+1 &amp; "/1/" &amp; IF(MONTH(D95)&gt;11, YEAR(D95)+1, YEAR(D95))</f>
        <v>7/1/2021</v>
      </c>
      <c r="E96" s="39" t="str">
        <f>"Rent: "&amp;LOOKUP(A96-1, Months, TextMonths)&amp;" '"&amp;B96</f>
        <v>Rent: Jul '2021</v>
      </c>
      <c r="F96" s="36"/>
      <c r="G96" s="36">
        <v>3100</v>
      </c>
      <c r="H96" s="38">
        <f t="shared" si="6"/>
        <v>4300</v>
      </c>
    </row>
    <row r="97" spans="1:9" ht="12.75" customHeight="1" x14ac:dyDescent="0.25">
      <c r="A97" s="37">
        <f t="shared" si="4"/>
        <v>7</v>
      </c>
      <c r="B97" s="37">
        <f t="shared" si="5"/>
        <v>2021</v>
      </c>
      <c r="C97" s="37" t="str">
        <f t="shared" si="2"/>
        <v>Income: 1</v>
      </c>
      <c r="D97" s="28">
        <v>44383</v>
      </c>
      <c r="E97" s="29" t="s">
        <v>51</v>
      </c>
      <c r="F97" s="36">
        <v>2000</v>
      </c>
      <c r="G97" s="36"/>
      <c r="H97" s="38">
        <f t="shared" si="6"/>
        <v>2300</v>
      </c>
    </row>
    <row r="98" spans="1:9" ht="12.75" customHeight="1" x14ac:dyDescent="0.25">
      <c r="A98" s="37">
        <f t="shared" si="4"/>
        <v>7</v>
      </c>
      <c r="B98" s="37">
        <f t="shared" si="5"/>
        <v>2021</v>
      </c>
      <c r="C98" s="37" t="str">
        <f t="shared" si="2"/>
        <v>Income: 1</v>
      </c>
      <c r="D98" s="28">
        <v>44383</v>
      </c>
      <c r="E98" s="29" t="s">
        <v>51</v>
      </c>
      <c r="F98" s="36">
        <v>1100</v>
      </c>
      <c r="G98" s="36"/>
      <c r="H98" s="38">
        <f t="shared" si="6"/>
        <v>1200</v>
      </c>
      <c r="I98" s="36"/>
    </row>
    <row r="99" spans="1:9" ht="12.75" customHeight="1" x14ac:dyDescent="0.25">
      <c r="A99" s="37">
        <f t="shared" si="4"/>
        <v>8</v>
      </c>
      <c r="B99" s="37">
        <f t="shared" si="5"/>
        <v>2021</v>
      </c>
      <c r="C99" s="37" t="str">
        <f t="shared" si="2"/>
        <v>Rent: 1</v>
      </c>
      <c r="D99" s="40" t="str">
        <f>MOD(MONTH(D98), 12)+1 &amp; "/1/" &amp; IF(MONTH(D98)&gt;11, YEAR(D98)+1, YEAR(D98))</f>
        <v>8/1/2021</v>
      </c>
      <c r="E99" s="39" t="str">
        <f>"Rent: "&amp;LOOKUP(A99-1, Months, TextMonths)&amp;" '"&amp;B99</f>
        <v>Rent: Aug '2021</v>
      </c>
      <c r="F99" s="36"/>
      <c r="G99" s="36">
        <v>3100</v>
      </c>
      <c r="H99" s="38">
        <f t="shared" si="6"/>
        <v>4300</v>
      </c>
    </row>
    <row r="100" spans="1:9" ht="12.75" customHeight="1" x14ac:dyDescent="0.25">
      <c r="A100" s="37">
        <f t="shared" si="4"/>
        <v>8</v>
      </c>
      <c r="B100" s="37">
        <f t="shared" si="5"/>
        <v>2021</v>
      </c>
      <c r="C100" s="37" t="str">
        <f t="shared" si="2"/>
        <v>Income: 1</v>
      </c>
      <c r="D100" s="28">
        <v>44411</v>
      </c>
      <c r="E100" s="29" t="s">
        <v>51</v>
      </c>
      <c r="F100" s="36">
        <v>2000</v>
      </c>
      <c r="G100" s="36"/>
      <c r="H100" s="38">
        <f t="shared" si="6"/>
        <v>2300</v>
      </c>
    </row>
    <row r="101" spans="1:9" ht="12.75" customHeight="1" x14ac:dyDescent="0.25">
      <c r="A101" s="37">
        <f t="shared" si="4"/>
        <v>8</v>
      </c>
      <c r="B101" s="37">
        <f t="shared" si="5"/>
        <v>2021</v>
      </c>
      <c r="C101" s="37" t="str">
        <f t="shared" si="2"/>
        <v>Income: 1</v>
      </c>
      <c r="D101" s="28">
        <v>44412</v>
      </c>
      <c r="E101" s="29" t="s">
        <v>51</v>
      </c>
      <c r="F101" s="36">
        <v>1100</v>
      </c>
      <c r="G101" s="36"/>
      <c r="H101" s="38">
        <f t="shared" si="6"/>
        <v>1200</v>
      </c>
      <c r="I101" s="36"/>
    </row>
    <row r="102" spans="1:9" ht="12.75" customHeight="1" x14ac:dyDescent="0.25">
      <c r="A102" s="37">
        <f t="shared" si="4"/>
        <v>9</v>
      </c>
      <c r="B102" s="37">
        <f t="shared" si="5"/>
        <v>2021</v>
      </c>
      <c r="C102" s="37" t="str">
        <f t="shared" si="2"/>
        <v>Rent: 1</v>
      </c>
      <c r="D102" s="40" t="str">
        <f>MOD(MONTH(D101), 12)+1 &amp; "/1/" &amp; IF(MONTH(D101)&gt;11, YEAR(D101)+1, YEAR(D101))</f>
        <v>9/1/2021</v>
      </c>
      <c r="E102" s="39" t="str">
        <f>"Rent: "&amp;LOOKUP(A102-1, Months, TextMonths)&amp;" '"&amp;B102</f>
        <v>Rent: Sep '2021</v>
      </c>
      <c r="F102" s="36"/>
      <c r="G102" s="36">
        <v>3100</v>
      </c>
      <c r="H102" s="38">
        <f t="shared" si="6"/>
        <v>4300</v>
      </c>
    </row>
    <row r="103" spans="1:9" ht="12.75" customHeight="1" x14ac:dyDescent="0.25">
      <c r="A103" s="37">
        <f t="shared" si="4"/>
        <v>9</v>
      </c>
      <c r="B103" s="37">
        <f t="shared" si="5"/>
        <v>2021</v>
      </c>
      <c r="C103" s="37" t="str">
        <f t="shared" si="2"/>
        <v>Income: 1</v>
      </c>
      <c r="D103" s="28">
        <v>44446</v>
      </c>
      <c r="E103" s="29" t="s">
        <v>51</v>
      </c>
      <c r="F103" s="36">
        <v>2000</v>
      </c>
      <c r="G103" s="36"/>
      <c r="H103" s="38">
        <f t="shared" si="6"/>
        <v>2300</v>
      </c>
    </row>
    <row r="104" spans="1:9" ht="12.75" customHeight="1" x14ac:dyDescent="0.25">
      <c r="A104" s="37">
        <f t="shared" si="4"/>
        <v>9</v>
      </c>
      <c r="B104" s="37">
        <f t="shared" si="5"/>
        <v>2021</v>
      </c>
      <c r="C104" s="37" t="str">
        <f t="shared" si="2"/>
        <v>Income: 1</v>
      </c>
      <c r="D104" s="28">
        <v>44446</v>
      </c>
      <c r="E104" s="29" t="s">
        <v>51</v>
      </c>
      <c r="F104" s="36">
        <v>1100</v>
      </c>
      <c r="G104" s="36"/>
      <c r="H104" s="38">
        <f t="shared" si="6"/>
        <v>1200</v>
      </c>
      <c r="I104" s="36"/>
    </row>
    <row r="105" spans="1:9" ht="12.75" customHeight="1" x14ac:dyDescent="0.25">
      <c r="A105" s="37">
        <f t="shared" si="4"/>
        <v>10</v>
      </c>
      <c r="B105" s="37">
        <f t="shared" si="5"/>
        <v>2021</v>
      </c>
      <c r="C105" s="37" t="str">
        <f t="shared" si="2"/>
        <v>Rent: 1</v>
      </c>
      <c r="D105" s="40" t="str">
        <f>MOD(MONTH(D104), 12)+1 &amp; "/1/" &amp; IF(MONTH(D104)&gt;11, YEAR(D104)+1, YEAR(D104))</f>
        <v>10/1/2021</v>
      </c>
      <c r="E105" s="39" t="str">
        <f>"Rent: "&amp;LOOKUP(A105-1, Months, TextMonths)&amp;" '"&amp;B105</f>
        <v>Rent: Oct '2021</v>
      </c>
      <c r="F105" s="36"/>
      <c r="G105" s="36">
        <v>3100</v>
      </c>
      <c r="H105" s="38">
        <f t="shared" si="6"/>
        <v>4300</v>
      </c>
    </row>
    <row r="106" spans="1:9" ht="12.75" customHeight="1" x14ac:dyDescent="0.25">
      <c r="A106" s="37">
        <f>MONTH(D106)</f>
        <v>10</v>
      </c>
      <c r="B106" s="37">
        <f>YEAR(D106)</f>
        <v>2021</v>
      </c>
      <c r="C106" s="37"/>
      <c r="D106" s="40">
        <v>44474</v>
      </c>
      <c r="E106" s="39" t="s">
        <v>52</v>
      </c>
      <c r="F106" s="36"/>
      <c r="G106" s="36">
        <v>50</v>
      </c>
      <c r="H106" s="38">
        <f t="shared" si="6"/>
        <v>4350</v>
      </c>
    </row>
    <row r="107" spans="1:9" ht="12.75" customHeight="1" x14ac:dyDescent="0.25">
      <c r="A107" s="37">
        <f t="shared" ref="A107:A133" si="7">MONTH(D107)</f>
        <v>11</v>
      </c>
      <c r="B107" s="37">
        <f t="shared" ref="B107:B133" si="8">YEAR(D107)</f>
        <v>2021</v>
      </c>
      <c r="C107" s="37" t="str">
        <f t="shared" ref="C107:C133" si="9">IFERROR("Rent: "&amp;FIND("Rent",E107),IFERROR("Priv Tax: "&amp;FIND("Tax",E107), IFERROR("Income: "&amp;FIND("Payment",E107,1),"")))</f>
        <v>Rent: 1</v>
      </c>
      <c r="D107" s="40" t="str">
        <f>MOD(MONTH(D105), 12)+1 &amp; "/1/" &amp; IF(MONTH(D105)&gt;11, YEAR(D105)+1, YEAR(D105))</f>
        <v>11/1/2021</v>
      </c>
      <c r="E107" s="39" t="str">
        <f>"Rent: "&amp;LOOKUP(A107-1, Months, TextMonths)&amp;" '"&amp;B107</f>
        <v>Rent: Nov '2021</v>
      </c>
      <c r="F107" s="36"/>
      <c r="G107" s="36">
        <v>3100</v>
      </c>
      <c r="H107" s="38">
        <f t="shared" si="6"/>
        <v>7450</v>
      </c>
    </row>
    <row r="108" spans="1:9" ht="12.75" customHeight="1" x14ac:dyDescent="0.25">
      <c r="A108" s="37">
        <f t="shared" si="7"/>
        <v>11</v>
      </c>
      <c r="B108" s="37">
        <f t="shared" si="8"/>
        <v>2021</v>
      </c>
      <c r="C108" s="37" t="str">
        <f t="shared" si="9"/>
        <v>Income: 1</v>
      </c>
      <c r="D108" s="28">
        <v>44503</v>
      </c>
      <c r="E108" s="29" t="s">
        <v>51</v>
      </c>
      <c r="F108" s="36">
        <v>2000</v>
      </c>
      <c r="G108" s="36"/>
      <c r="H108" s="38">
        <f t="shared" si="6"/>
        <v>5450</v>
      </c>
    </row>
    <row r="109" spans="1:9" ht="12.75" customHeight="1" x14ac:dyDescent="0.25">
      <c r="A109" s="37">
        <f t="shared" si="7"/>
        <v>11</v>
      </c>
      <c r="B109" s="37">
        <f t="shared" si="8"/>
        <v>2021</v>
      </c>
      <c r="C109" s="37" t="str">
        <f t="shared" si="9"/>
        <v>Income: 1</v>
      </c>
      <c r="D109" s="28">
        <v>44504</v>
      </c>
      <c r="E109" s="29" t="s">
        <v>51</v>
      </c>
      <c r="F109" s="36">
        <v>1100</v>
      </c>
      <c r="G109" s="36"/>
      <c r="H109" s="38">
        <f t="shared" si="6"/>
        <v>4350</v>
      </c>
      <c r="I109" s="36"/>
    </row>
    <row r="110" spans="1:9" ht="12.75" customHeight="1" x14ac:dyDescent="0.25">
      <c r="A110" s="37">
        <f t="shared" si="7"/>
        <v>12</v>
      </c>
      <c r="B110" s="37">
        <f t="shared" si="8"/>
        <v>2021</v>
      </c>
      <c r="C110" s="37" t="str">
        <f t="shared" si="9"/>
        <v>Rent: 1</v>
      </c>
      <c r="D110" s="40" t="str">
        <f>MOD(MONTH(D109), 12)+1 &amp; "/1/" &amp; IF(MONTH(D109)&gt;11, YEAR(D109)+1, YEAR(D109))</f>
        <v>12/1/2021</v>
      </c>
      <c r="E110" s="39" t="str">
        <f>"Rent: "&amp;LOOKUP(A110-1, Months, TextMonths)&amp;" '"&amp;B110</f>
        <v>Rent: Dec '2021</v>
      </c>
      <c r="F110" s="36"/>
      <c r="G110" s="36">
        <v>3100</v>
      </c>
      <c r="H110" s="38">
        <f t="shared" si="6"/>
        <v>7450</v>
      </c>
    </row>
    <row r="111" spans="1:9" ht="12.75" customHeight="1" x14ac:dyDescent="0.25">
      <c r="A111" s="37">
        <f t="shared" si="7"/>
        <v>12</v>
      </c>
      <c r="B111" s="37">
        <f t="shared" si="8"/>
        <v>2021</v>
      </c>
      <c r="C111" s="37" t="str">
        <f t="shared" si="9"/>
        <v>Income: 1</v>
      </c>
      <c r="D111" s="28">
        <v>44531</v>
      </c>
      <c r="E111" s="29" t="s">
        <v>51</v>
      </c>
      <c r="F111" s="36">
        <v>2000</v>
      </c>
      <c r="G111" s="36"/>
      <c r="H111" s="38">
        <f t="shared" si="6"/>
        <v>5450</v>
      </c>
    </row>
    <row r="112" spans="1:9" ht="12.75" customHeight="1" x14ac:dyDescent="0.25">
      <c r="A112" s="37">
        <f t="shared" si="7"/>
        <v>12</v>
      </c>
      <c r="B112" s="37">
        <f t="shared" si="8"/>
        <v>2021</v>
      </c>
      <c r="C112" s="37" t="str">
        <f t="shared" si="9"/>
        <v>Income: 1</v>
      </c>
      <c r="D112" s="28">
        <v>44532</v>
      </c>
      <c r="E112" s="29" t="s">
        <v>51</v>
      </c>
      <c r="F112" s="36">
        <v>1100</v>
      </c>
      <c r="G112" s="36"/>
      <c r="H112" s="38">
        <f t="shared" si="6"/>
        <v>4350</v>
      </c>
      <c r="I112" s="36"/>
    </row>
    <row r="113" spans="1:9" ht="12.75" customHeight="1" x14ac:dyDescent="0.25">
      <c r="A113" s="37">
        <f t="shared" si="7"/>
        <v>12</v>
      </c>
      <c r="B113" s="37">
        <f t="shared" si="8"/>
        <v>2021</v>
      </c>
      <c r="C113" s="37" t="str">
        <f t="shared" si="9"/>
        <v>Income: 1</v>
      </c>
      <c r="D113" s="28">
        <v>44533</v>
      </c>
      <c r="E113" s="29" t="s">
        <v>51</v>
      </c>
      <c r="F113" s="36">
        <v>2000</v>
      </c>
      <c r="G113" s="36"/>
      <c r="H113" s="38">
        <f t="shared" si="6"/>
        <v>2350</v>
      </c>
    </row>
    <row r="114" spans="1:9" ht="12.75" customHeight="1" x14ac:dyDescent="0.25">
      <c r="A114" s="37">
        <f t="shared" si="7"/>
        <v>12</v>
      </c>
      <c r="B114" s="37">
        <f t="shared" si="8"/>
        <v>2021</v>
      </c>
      <c r="C114" s="37" t="str">
        <f t="shared" si="9"/>
        <v>Income: 1</v>
      </c>
      <c r="D114" s="28">
        <v>44533</v>
      </c>
      <c r="E114" s="29" t="s">
        <v>51</v>
      </c>
      <c r="F114" s="36">
        <v>50</v>
      </c>
      <c r="G114" s="36"/>
      <c r="H114" s="38">
        <f t="shared" si="6"/>
        <v>2300</v>
      </c>
    </row>
    <row r="115" spans="1:9" ht="12.75" customHeight="1" x14ac:dyDescent="0.25">
      <c r="A115" s="37">
        <f t="shared" si="7"/>
        <v>12</v>
      </c>
      <c r="B115" s="37">
        <f t="shared" si="8"/>
        <v>2021</v>
      </c>
      <c r="C115" s="37" t="str">
        <f t="shared" si="9"/>
        <v>Income: 1</v>
      </c>
      <c r="D115" s="28">
        <v>44533</v>
      </c>
      <c r="E115" s="29" t="s">
        <v>51</v>
      </c>
      <c r="F115" s="36">
        <v>1100</v>
      </c>
      <c r="G115" s="36"/>
      <c r="H115" s="38">
        <f t="shared" si="6"/>
        <v>1200</v>
      </c>
      <c r="I115" s="30"/>
    </row>
    <row r="116" spans="1:9" ht="12.75" customHeight="1" x14ac:dyDescent="0.25">
      <c r="A116" s="37">
        <f t="shared" si="7"/>
        <v>12</v>
      </c>
      <c r="B116" s="37">
        <f t="shared" si="8"/>
        <v>2021</v>
      </c>
      <c r="C116" s="37" t="str">
        <f t="shared" si="9"/>
        <v>Income: 1</v>
      </c>
      <c r="D116" s="28">
        <v>44543</v>
      </c>
      <c r="E116" s="29" t="s">
        <v>51</v>
      </c>
      <c r="F116" s="36">
        <v>1200</v>
      </c>
      <c r="G116" s="36"/>
      <c r="H116" s="38">
        <f t="shared" si="6"/>
        <v>0</v>
      </c>
    </row>
    <row r="117" spans="1:9" ht="12.75" customHeight="1" x14ac:dyDescent="0.25">
      <c r="A117" s="37">
        <f t="shared" si="7"/>
        <v>1</v>
      </c>
      <c r="B117" s="37">
        <f t="shared" si="8"/>
        <v>2022</v>
      </c>
      <c r="C117" s="37" t="str">
        <f t="shared" si="9"/>
        <v>Rent: 1</v>
      </c>
      <c r="D117" s="40" t="str">
        <f>MOD(MONTH(D116), 12)+1 &amp; "/1/" &amp; IF(MONTH(D116)&gt;11, YEAR(D116)+1, YEAR(D116))</f>
        <v>1/1/2022</v>
      </c>
      <c r="E117" s="39" t="str">
        <f>"Rent: "&amp;LOOKUP(A117-1, Months, TextMonths)&amp;" '"&amp;B117</f>
        <v>Rent: Jan '2022</v>
      </c>
      <c r="F117" s="36"/>
      <c r="G117" s="36">
        <v>3100</v>
      </c>
      <c r="H117" s="38">
        <f t="shared" si="6"/>
        <v>3100</v>
      </c>
    </row>
    <row r="118" spans="1:9" ht="12.75" customHeight="1" x14ac:dyDescent="0.25">
      <c r="A118" s="37">
        <f t="shared" si="7"/>
        <v>1</v>
      </c>
      <c r="B118" s="37">
        <f t="shared" si="8"/>
        <v>2022</v>
      </c>
      <c r="C118" s="37" t="str">
        <f t="shared" si="9"/>
        <v>Income: 1</v>
      </c>
      <c r="D118" s="28">
        <v>44564</v>
      </c>
      <c r="E118" s="29" t="s">
        <v>51</v>
      </c>
      <c r="F118" s="36">
        <v>2000</v>
      </c>
      <c r="G118" s="36"/>
      <c r="H118" s="38">
        <f t="shared" si="6"/>
        <v>1100</v>
      </c>
    </row>
    <row r="119" spans="1:9" ht="12.75" customHeight="1" x14ac:dyDescent="0.25">
      <c r="A119" s="37">
        <f t="shared" si="7"/>
        <v>1</v>
      </c>
      <c r="B119" s="37">
        <f t="shared" si="8"/>
        <v>2022</v>
      </c>
      <c r="C119" s="37" t="str">
        <f t="shared" si="9"/>
        <v>Income: 1</v>
      </c>
      <c r="D119" s="28">
        <v>44564</v>
      </c>
      <c r="E119" s="29" t="s">
        <v>51</v>
      </c>
      <c r="F119" s="36">
        <v>1100</v>
      </c>
      <c r="G119" s="36"/>
      <c r="H119" s="38">
        <f t="shared" si="6"/>
        <v>0</v>
      </c>
    </row>
    <row r="120" spans="1:9" ht="12.75" customHeight="1" x14ac:dyDescent="0.25">
      <c r="A120" s="37">
        <f t="shared" si="7"/>
        <v>2</v>
      </c>
      <c r="B120" s="37">
        <f t="shared" si="8"/>
        <v>2022</v>
      </c>
      <c r="C120" s="37" t="str">
        <f t="shared" si="9"/>
        <v>Rent: 1</v>
      </c>
      <c r="D120" s="40" t="str">
        <f>MOD(MONTH(D119), 12)+1 &amp; "/1/" &amp; IF(MONTH(D119)&gt;11, YEAR(D119)+1, YEAR(D119))</f>
        <v>2/1/2022</v>
      </c>
      <c r="E120" s="39" t="str">
        <f>"Rent: "&amp;LOOKUP(A120-1, Months, TextMonths)&amp;" '"&amp;B120</f>
        <v>Rent: Feb '2022</v>
      </c>
      <c r="F120" s="36"/>
      <c r="G120" s="36">
        <v>3100</v>
      </c>
      <c r="H120" s="38">
        <f t="shared" si="6"/>
        <v>3100</v>
      </c>
    </row>
    <row r="121" spans="1:9" ht="12.75" customHeight="1" x14ac:dyDescent="0.25">
      <c r="A121" s="37">
        <f t="shared" si="7"/>
        <v>2</v>
      </c>
      <c r="B121" s="37">
        <f t="shared" si="8"/>
        <v>2022</v>
      </c>
      <c r="C121" s="37" t="str">
        <f t="shared" si="9"/>
        <v>Income: 1</v>
      </c>
      <c r="D121" s="28">
        <v>44593</v>
      </c>
      <c r="E121" s="29" t="s">
        <v>51</v>
      </c>
      <c r="F121" s="36">
        <v>2000</v>
      </c>
      <c r="G121" s="36"/>
      <c r="H121" s="38">
        <f t="shared" si="6"/>
        <v>1100</v>
      </c>
    </row>
    <row r="122" spans="1:9" ht="12.75" customHeight="1" x14ac:dyDescent="0.25">
      <c r="A122" s="37">
        <f t="shared" si="7"/>
        <v>2</v>
      </c>
      <c r="B122" s="37">
        <f t="shared" si="8"/>
        <v>2022</v>
      </c>
      <c r="C122" s="37" t="str">
        <f t="shared" si="9"/>
        <v>Income: 1</v>
      </c>
      <c r="D122" s="28">
        <v>44594</v>
      </c>
      <c r="E122" s="29" t="s">
        <v>51</v>
      </c>
      <c r="F122" s="36">
        <v>1100</v>
      </c>
      <c r="G122" s="36"/>
      <c r="H122" s="38">
        <f t="shared" si="6"/>
        <v>0</v>
      </c>
    </row>
    <row r="123" spans="1:9" ht="12.75" customHeight="1" x14ac:dyDescent="0.25">
      <c r="A123" s="37">
        <f t="shared" si="7"/>
        <v>3</v>
      </c>
      <c r="B123" s="37">
        <f t="shared" si="8"/>
        <v>2022</v>
      </c>
      <c r="C123" s="37" t="str">
        <f t="shared" si="9"/>
        <v>Rent: 1</v>
      </c>
      <c r="D123" s="40" t="str">
        <f>MOD(MONTH(D122), 12)+1 &amp; "/1/" &amp; IF(MONTH(D122)&gt;11, YEAR(D122)+1, YEAR(D122))</f>
        <v>3/1/2022</v>
      </c>
      <c r="E123" s="39" t="str">
        <f>"Rent: "&amp;LOOKUP(A123-1, Months, TextMonths)&amp;" '"&amp;B123</f>
        <v>Rent: Mar '2022</v>
      </c>
      <c r="F123" s="36"/>
      <c r="G123" s="36">
        <v>3200</v>
      </c>
      <c r="H123" s="38">
        <f t="shared" si="6"/>
        <v>3200</v>
      </c>
      <c r="I123" s="30"/>
    </row>
    <row r="124" spans="1:9" ht="12.75" customHeight="1" x14ac:dyDescent="0.25">
      <c r="A124" s="37">
        <f t="shared" si="7"/>
        <v>3</v>
      </c>
      <c r="B124" s="37">
        <f t="shared" si="8"/>
        <v>2022</v>
      </c>
      <c r="C124" s="37" t="str">
        <f t="shared" si="9"/>
        <v>Income: 1</v>
      </c>
      <c r="D124" s="28">
        <v>44623</v>
      </c>
      <c r="E124" s="29" t="s">
        <v>51</v>
      </c>
      <c r="F124" s="36">
        <v>2000</v>
      </c>
      <c r="G124" s="36"/>
      <c r="H124" s="38">
        <f t="shared" si="6"/>
        <v>1200</v>
      </c>
    </row>
    <row r="125" spans="1:9" ht="12.75" customHeight="1" x14ac:dyDescent="0.25">
      <c r="A125" s="37">
        <f t="shared" si="7"/>
        <v>3</v>
      </c>
      <c r="B125" s="37">
        <f t="shared" si="8"/>
        <v>2022</v>
      </c>
      <c r="C125" s="37" t="str">
        <f t="shared" si="9"/>
        <v>Income: 1</v>
      </c>
      <c r="D125" s="28">
        <v>44623</v>
      </c>
      <c r="E125" s="29" t="s">
        <v>51</v>
      </c>
      <c r="F125" s="36">
        <v>1200</v>
      </c>
      <c r="G125" s="36"/>
      <c r="H125" s="38">
        <f t="shared" si="6"/>
        <v>0</v>
      </c>
    </row>
    <row r="126" spans="1:9" ht="12.75" customHeight="1" x14ac:dyDescent="0.25">
      <c r="A126" s="37">
        <f t="shared" si="7"/>
        <v>4</v>
      </c>
      <c r="B126" s="37">
        <f t="shared" si="8"/>
        <v>2022</v>
      </c>
      <c r="C126" s="37" t="str">
        <f t="shared" si="9"/>
        <v>Rent: 1</v>
      </c>
      <c r="D126" s="40" t="str">
        <f>MOD(MONTH(D125), 12)+1 &amp; "/1/" &amp; IF(MONTH(D125)&gt;11, YEAR(D125)+1, YEAR(D125))</f>
        <v>4/1/2022</v>
      </c>
      <c r="E126" s="39" t="str">
        <f>"Rent: "&amp;LOOKUP(A126-1, Months, TextMonths)&amp;" '"&amp;B126</f>
        <v>Rent: Apr '2022</v>
      </c>
      <c r="F126" s="36"/>
      <c r="G126" s="36">
        <v>3200</v>
      </c>
      <c r="H126" s="38">
        <f t="shared" si="6"/>
        <v>3200</v>
      </c>
    </row>
    <row r="127" spans="1:9" ht="12.75" customHeight="1" x14ac:dyDescent="0.25">
      <c r="A127" s="37">
        <f t="shared" si="7"/>
        <v>4</v>
      </c>
      <c r="B127" s="37">
        <f t="shared" si="8"/>
        <v>2022</v>
      </c>
      <c r="C127" s="37" t="str">
        <f t="shared" si="9"/>
        <v>Income: 1</v>
      </c>
      <c r="D127" s="28">
        <v>44655</v>
      </c>
      <c r="E127" s="29" t="s">
        <v>51</v>
      </c>
      <c r="F127" s="36">
        <v>2000</v>
      </c>
      <c r="G127" s="36"/>
      <c r="H127" s="38">
        <f t="shared" si="6"/>
        <v>1200</v>
      </c>
    </row>
    <row r="128" spans="1:9" ht="12.75" customHeight="1" x14ac:dyDescent="0.25">
      <c r="A128" s="37">
        <f t="shared" si="7"/>
        <v>4</v>
      </c>
      <c r="B128" s="37">
        <f t="shared" si="8"/>
        <v>2022</v>
      </c>
      <c r="C128" s="37" t="str">
        <f t="shared" si="9"/>
        <v>Income: 1</v>
      </c>
      <c r="D128" s="28">
        <v>44655</v>
      </c>
      <c r="E128" s="29" t="s">
        <v>51</v>
      </c>
      <c r="F128" s="36">
        <v>1200</v>
      </c>
      <c r="G128" s="36"/>
      <c r="H128" s="38">
        <f t="shared" si="6"/>
        <v>0</v>
      </c>
    </row>
    <row r="129" spans="1:9" ht="12.75" customHeight="1" x14ac:dyDescent="0.25">
      <c r="A129" s="37">
        <f t="shared" si="7"/>
        <v>5</v>
      </c>
      <c r="B129" s="37">
        <f t="shared" si="8"/>
        <v>2022</v>
      </c>
      <c r="C129" s="37" t="str">
        <f t="shared" si="9"/>
        <v>Rent: 1</v>
      </c>
      <c r="D129" s="40" t="str">
        <f>MOD(MONTH(D128), 12)+1 &amp; "/1/" &amp; IF(MONTH(D128)&gt;11, YEAR(D128)+1, YEAR(D128))</f>
        <v>5/1/2022</v>
      </c>
      <c r="E129" s="39" t="str">
        <f>"Rent: "&amp;LOOKUP(A129-1, Months, TextMonths)&amp;" '"&amp;B129</f>
        <v>Rent: May '2022</v>
      </c>
      <c r="F129" s="36"/>
      <c r="G129" s="36">
        <v>3200</v>
      </c>
      <c r="H129" s="38">
        <f t="shared" si="6"/>
        <v>3200</v>
      </c>
    </row>
    <row r="130" spans="1:9" ht="12.75" customHeight="1" x14ac:dyDescent="0.25">
      <c r="A130" s="37">
        <f t="shared" si="7"/>
        <v>5</v>
      </c>
      <c r="B130" s="37">
        <f t="shared" si="8"/>
        <v>2022</v>
      </c>
      <c r="C130" s="37" t="str">
        <f t="shared" si="9"/>
        <v>Income: 1</v>
      </c>
      <c r="D130" s="28">
        <v>44684</v>
      </c>
      <c r="E130" s="29" t="s">
        <v>51</v>
      </c>
      <c r="F130" s="36">
        <v>2000</v>
      </c>
      <c r="G130" s="36"/>
      <c r="H130" s="38">
        <f t="shared" si="6"/>
        <v>1200</v>
      </c>
    </row>
    <row r="131" spans="1:9" ht="12.75" customHeight="1" x14ac:dyDescent="0.25">
      <c r="A131" s="37">
        <f t="shared" si="7"/>
        <v>5</v>
      </c>
      <c r="B131" s="37">
        <f t="shared" si="8"/>
        <v>2022</v>
      </c>
      <c r="C131" s="37" t="str">
        <f t="shared" si="9"/>
        <v>Income: 1</v>
      </c>
      <c r="D131" s="28">
        <v>44685</v>
      </c>
      <c r="E131" s="29" t="s">
        <v>51</v>
      </c>
      <c r="F131" s="36">
        <v>1200</v>
      </c>
      <c r="G131" s="36"/>
      <c r="H131" s="38">
        <f t="shared" si="6"/>
        <v>0</v>
      </c>
    </row>
    <row r="132" spans="1:9" ht="12.75" customHeight="1" x14ac:dyDescent="0.25">
      <c r="A132" s="37">
        <f t="shared" si="7"/>
        <v>6</v>
      </c>
      <c r="B132" s="37">
        <f t="shared" si="8"/>
        <v>2022</v>
      </c>
      <c r="C132" s="37" t="str">
        <f t="shared" si="9"/>
        <v>Rent: 1</v>
      </c>
      <c r="D132" s="40" t="str">
        <f>MOD(MONTH(D131), 12)+1 &amp; "/1/" &amp; IF(MONTH(D131)&gt;11, YEAR(D131)+1, YEAR(D131))</f>
        <v>6/1/2022</v>
      </c>
      <c r="E132" s="39" t="str">
        <f>"Rent: "&amp;LOOKUP(A132-1, Months, TextMonths)&amp;" '"&amp;B132</f>
        <v>Rent: Jun '2022</v>
      </c>
      <c r="F132" s="36"/>
      <c r="G132" s="36">
        <v>3200</v>
      </c>
      <c r="H132" s="38">
        <f t="shared" si="6"/>
        <v>3200</v>
      </c>
    </row>
    <row r="133" spans="1:9" ht="12.75" customHeight="1" x14ac:dyDescent="0.25">
      <c r="A133" s="37">
        <f t="shared" si="7"/>
        <v>6</v>
      </c>
      <c r="B133" s="37">
        <f t="shared" si="8"/>
        <v>2022</v>
      </c>
      <c r="C133" s="37" t="str">
        <f t="shared" si="9"/>
        <v>Income: 1</v>
      </c>
      <c r="D133" s="28">
        <v>44715</v>
      </c>
      <c r="E133" s="29" t="s">
        <v>51</v>
      </c>
      <c r="F133" s="36">
        <v>3200</v>
      </c>
      <c r="G133" s="36"/>
      <c r="H133" s="38">
        <f t="shared" si="6"/>
        <v>0</v>
      </c>
      <c r="I133" s="30"/>
    </row>
    <row r="134" spans="1:9" ht="12.75" customHeight="1" x14ac:dyDescent="0.25">
      <c r="A134" s="37">
        <f t="shared" ref="A134:A151" si="10">MONTH(D134)</f>
        <v>7</v>
      </c>
      <c r="B134" s="37">
        <f t="shared" ref="B134:B151" si="11">YEAR(D134)</f>
        <v>2022</v>
      </c>
      <c r="C134" s="37" t="str">
        <f t="shared" ref="C134:C151" si="12">IFERROR("Rent: "&amp;FIND("Rent",E134),IFERROR("Priv Tax: "&amp;FIND("Tax",E134), IFERROR("Income: "&amp;FIND("Payment",E134,1),"")))</f>
        <v>Rent: 1</v>
      </c>
      <c r="D134" s="40" t="str">
        <f>MOD(MONTH(D133), 12)+1 &amp; "/1/" &amp; IF(MONTH(D133)&gt;11, YEAR(D133)+1, YEAR(D133))</f>
        <v>7/1/2022</v>
      </c>
      <c r="E134" s="39" t="str">
        <f>"Rent: "&amp;LOOKUP(A134-1, Months, TextMonths)&amp;" '"&amp;B134</f>
        <v>Rent: Jul '2022</v>
      </c>
      <c r="F134" s="36"/>
      <c r="G134" s="36">
        <v>3200</v>
      </c>
      <c r="H134" s="38">
        <f t="shared" ref="H134:H151" si="13">H133+G134-F134</f>
        <v>3200</v>
      </c>
    </row>
    <row r="135" spans="1:9" ht="12.75" customHeight="1" x14ac:dyDescent="0.25">
      <c r="A135" s="37">
        <f t="shared" si="10"/>
        <v>7</v>
      </c>
      <c r="B135" s="37">
        <f t="shared" si="11"/>
        <v>2022</v>
      </c>
      <c r="C135" s="37" t="str">
        <f t="shared" si="12"/>
        <v>Income: 1</v>
      </c>
      <c r="D135" s="28">
        <v>44747</v>
      </c>
      <c r="E135" s="29" t="s">
        <v>51</v>
      </c>
      <c r="F135" s="36">
        <v>2000</v>
      </c>
      <c r="G135" s="36"/>
      <c r="H135" s="38">
        <f t="shared" si="13"/>
        <v>1200</v>
      </c>
      <c r="I135" s="30"/>
    </row>
    <row r="136" spans="1:9" ht="12.75" customHeight="1" x14ac:dyDescent="0.25">
      <c r="A136" s="37">
        <f t="shared" si="10"/>
        <v>7</v>
      </c>
      <c r="B136" s="37">
        <f t="shared" si="11"/>
        <v>2022</v>
      </c>
      <c r="C136" s="37" t="str">
        <f t="shared" si="12"/>
        <v>Income: 1</v>
      </c>
      <c r="D136" s="28">
        <v>44747</v>
      </c>
      <c r="E136" s="29" t="s">
        <v>51</v>
      </c>
      <c r="F136" s="36">
        <v>1200</v>
      </c>
      <c r="G136" s="36"/>
      <c r="H136" s="38">
        <f t="shared" si="13"/>
        <v>0</v>
      </c>
      <c r="I136" s="30"/>
    </row>
    <row r="137" spans="1:9" ht="12.75" customHeight="1" x14ac:dyDescent="0.25">
      <c r="A137" s="37">
        <f t="shared" si="10"/>
        <v>8</v>
      </c>
      <c r="B137" s="37">
        <f t="shared" si="11"/>
        <v>2022</v>
      </c>
      <c r="C137" s="37" t="str">
        <f t="shared" si="12"/>
        <v>Rent: 1</v>
      </c>
      <c r="D137" s="40" t="str">
        <f>MOD(MONTH(D136), 12)+1 &amp; "/1/" &amp; IF(MONTH(D136)&gt;11, YEAR(D136)+1, YEAR(D136))</f>
        <v>8/1/2022</v>
      </c>
      <c r="E137" s="39" t="str">
        <f>"Rent: "&amp;LOOKUP(A137-1, Months, TextMonths)&amp;" '"&amp;B137</f>
        <v>Rent: Aug '2022</v>
      </c>
      <c r="F137" s="36"/>
      <c r="G137" s="36">
        <v>3200</v>
      </c>
      <c r="H137" s="38">
        <f t="shared" si="13"/>
        <v>3200</v>
      </c>
    </row>
    <row r="138" spans="1:9" ht="12.75" customHeight="1" x14ac:dyDescent="0.25">
      <c r="A138" s="37">
        <f t="shared" si="10"/>
        <v>8</v>
      </c>
      <c r="B138" s="37">
        <f t="shared" si="11"/>
        <v>2022</v>
      </c>
      <c r="C138" s="37" t="str">
        <f t="shared" si="12"/>
        <v>Income: 1</v>
      </c>
      <c r="D138" s="28">
        <v>44775</v>
      </c>
      <c r="E138" s="29" t="s">
        <v>51</v>
      </c>
      <c r="F138" s="36">
        <v>3200</v>
      </c>
      <c r="G138" s="36"/>
      <c r="H138" s="38">
        <f t="shared" si="13"/>
        <v>0</v>
      </c>
      <c r="I138" s="30"/>
    </row>
    <row r="139" spans="1:9" ht="12.75" customHeight="1" x14ac:dyDescent="0.25">
      <c r="A139" s="37">
        <f t="shared" si="10"/>
        <v>9</v>
      </c>
      <c r="B139" s="37">
        <f t="shared" si="11"/>
        <v>2022</v>
      </c>
      <c r="C139" s="37" t="str">
        <f t="shared" si="12"/>
        <v>Rent: 1</v>
      </c>
      <c r="D139" s="40" t="str">
        <f>MOD(MONTH(D138), 12)+1 &amp; "/1/" &amp; IF(MONTH(D138)&gt;11, YEAR(D138)+1, YEAR(D138))</f>
        <v>9/1/2022</v>
      </c>
      <c r="E139" s="39" t="str">
        <f>"Rent: "&amp;LOOKUP(A139-1, Months, TextMonths)&amp;" '"&amp;B139</f>
        <v>Rent: Sep '2022</v>
      </c>
      <c r="F139" s="36"/>
      <c r="G139" s="36">
        <v>3200</v>
      </c>
      <c r="H139" s="38">
        <f t="shared" si="13"/>
        <v>3200</v>
      </c>
    </row>
    <row r="140" spans="1:9" ht="12.75" customHeight="1" x14ac:dyDescent="0.25">
      <c r="A140" s="37">
        <f t="shared" si="10"/>
        <v>9</v>
      </c>
      <c r="B140" s="37">
        <f t="shared" si="11"/>
        <v>2022</v>
      </c>
      <c r="C140" s="37" t="str">
        <f t="shared" si="12"/>
        <v>Income: 1</v>
      </c>
      <c r="D140" s="28">
        <v>44810</v>
      </c>
      <c r="E140" s="29" t="s">
        <v>51</v>
      </c>
      <c r="F140" s="36">
        <v>2000</v>
      </c>
      <c r="G140" s="36"/>
      <c r="H140" s="38">
        <f t="shared" si="13"/>
        <v>1200</v>
      </c>
      <c r="I140" s="30"/>
    </row>
    <row r="141" spans="1:9" ht="12.75" customHeight="1" x14ac:dyDescent="0.25">
      <c r="A141" s="37">
        <f t="shared" si="10"/>
        <v>9</v>
      </c>
      <c r="B141" s="37">
        <f t="shared" si="11"/>
        <v>2022</v>
      </c>
      <c r="C141" s="37" t="str">
        <f t="shared" si="12"/>
        <v>Income: 1</v>
      </c>
      <c r="D141" s="28">
        <v>44810</v>
      </c>
      <c r="E141" s="29" t="s">
        <v>51</v>
      </c>
      <c r="F141" s="36">
        <v>1200</v>
      </c>
      <c r="G141" s="36"/>
      <c r="H141" s="38">
        <f t="shared" si="13"/>
        <v>0</v>
      </c>
      <c r="I141" s="30"/>
    </row>
    <row r="142" spans="1:9" ht="12.75" customHeight="1" x14ac:dyDescent="0.25">
      <c r="A142" s="37">
        <f t="shared" si="10"/>
        <v>10</v>
      </c>
      <c r="B142" s="37">
        <f t="shared" si="11"/>
        <v>2022</v>
      </c>
      <c r="C142" s="37" t="str">
        <f t="shared" si="12"/>
        <v>Rent: 1</v>
      </c>
      <c r="D142" s="40" t="str">
        <f>MOD(MONTH(D141), 12)+1 &amp; "/1/" &amp; IF(MONTH(D141)&gt;11, YEAR(D141)+1, YEAR(D141))</f>
        <v>10/1/2022</v>
      </c>
      <c r="E142" s="39" t="str">
        <f>"Rent: "&amp;LOOKUP(A142-1, Months, TextMonths)&amp;" '"&amp;B142</f>
        <v>Rent: Oct '2022</v>
      </c>
      <c r="F142" s="36"/>
      <c r="G142" s="36">
        <v>3200</v>
      </c>
      <c r="H142" s="38">
        <f t="shared" si="13"/>
        <v>3200</v>
      </c>
    </row>
    <row r="143" spans="1:9" ht="12.75" customHeight="1" x14ac:dyDescent="0.25">
      <c r="A143" s="37">
        <f t="shared" si="10"/>
        <v>10</v>
      </c>
      <c r="B143" s="37">
        <f t="shared" si="11"/>
        <v>2022</v>
      </c>
      <c r="C143" s="37" t="str">
        <f t="shared" si="12"/>
        <v>Income: 1</v>
      </c>
      <c r="D143" s="28">
        <v>44838</v>
      </c>
      <c r="E143" s="29" t="s">
        <v>51</v>
      </c>
      <c r="F143" s="36">
        <v>2000</v>
      </c>
      <c r="G143" s="36"/>
      <c r="H143" s="38">
        <f t="shared" si="13"/>
        <v>1200</v>
      </c>
      <c r="I143" s="30"/>
    </row>
    <row r="144" spans="1:9" ht="12.75" customHeight="1" x14ac:dyDescent="0.25">
      <c r="A144" s="37">
        <f t="shared" si="10"/>
        <v>10</v>
      </c>
      <c r="B144" s="37">
        <f t="shared" si="11"/>
        <v>2022</v>
      </c>
      <c r="C144" s="37" t="str">
        <f t="shared" si="12"/>
        <v>Income: 1</v>
      </c>
      <c r="D144" s="28">
        <v>44839</v>
      </c>
      <c r="E144" s="29" t="s">
        <v>51</v>
      </c>
      <c r="F144" s="36">
        <v>1161.83</v>
      </c>
      <c r="G144" s="36"/>
      <c r="H144" s="38">
        <f t="shared" si="13"/>
        <v>38.170000000000073</v>
      </c>
      <c r="I144" s="30"/>
    </row>
    <row r="145" spans="1:9" ht="12.75" customHeight="1" x14ac:dyDescent="0.25">
      <c r="A145" s="37">
        <f t="shared" si="10"/>
        <v>10</v>
      </c>
      <c r="B145" s="37">
        <f t="shared" si="11"/>
        <v>2022</v>
      </c>
      <c r="C145" s="37" t="str">
        <f t="shared" si="12"/>
        <v/>
      </c>
      <c r="D145" s="28">
        <v>44839</v>
      </c>
      <c r="E145" s="29" t="s">
        <v>118</v>
      </c>
      <c r="F145" s="36">
        <v>38.17</v>
      </c>
      <c r="G145" s="36"/>
      <c r="H145" s="38">
        <f t="shared" si="13"/>
        <v>7.1054273576010019E-14</v>
      </c>
      <c r="I145" s="30"/>
    </row>
    <row r="146" spans="1:9" ht="12.75" customHeight="1" x14ac:dyDescent="0.25">
      <c r="A146" s="37">
        <f t="shared" si="10"/>
        <v>11</v>
      </c>
      <c r="B146" s="37">
        <f t="shared" si="11"/>
        <v>2022</v>
      </c>
      <c r="C146" s="37" t="str">
        <f t="shared" si="12"/>
        <v>Rent: 1</v>
      </c>
      <c r="D146" s="40" t="str">
        <f>MOD(MONTH(D144), 12)+1 &amp; "/1/" &amp; IF(MONTH(D144)&gt;11, YEAR(D144)+1, YEAR(D144))</f>
        <v>11/1/2022</v>
      </c>
      <c r="E146" s="39" t="str">
        <f>"Rent: "&amp;LOOKUP(A146-1, Months, TextMonths)&amp;" '"&amp;B146</f>
        <v>Rent: Nov '2022</v>
      </c>
      <c r="F146" s="36"/>
      <c r="G146" s="36">
        <v>3200</v>
      </c>
      <c r="H146" s="38">
        <f t="shared" si="13"/>
        <v>3200</v>
      </c>
    </row>
    <row r="147" spans="1:9" ht="12.75" customHeight="1" x14ac:dyDescent="0.25">
      <c r="A147" s="37">
        <f t="shared" si="10"/>
        <v>11</v>
      </c>
      <c r="B147" s="37">
        <f t="shared" si="11"/>
        <v>2022</v>
      </c>
      <c r="C147" s="37" t="str">
        <f t="shared" si="12"/>
        <v>Income: 1</v>
      </c>
      <c r="D147" s="28">
        <v>44868</v>
      </c>
      <c r="E147" s="29" t="s">
        <v>51</v>
      </c>
      <c r="F147" s="36">
        <v>3100</v>
      </c>
      <c r="G147" s="36"/>
      <c r="H147" s="38">
        <f t="shared" si="13"/>
        <v>100</v>
      </c>
      <c r="I147" s="30"/>
    </row>
    <row r="148" spans="1:9" ht="12.75" customHeight="1" x14ac:dyDescent="0.25">
      <c r="A148" s="37">
        <f t="shared" si="10"/>
        <v>11</v>
      </c>
      <c r="B148" s="37">
        <f t="shared" si="11"/>
        <v>2022</v>
      </c>
      <c r="C148" s="37" t="str">
        <f t="shared" si="12"/>
        <v>Income: 1</v>
      </c>
      <c r="D148" s="28">
        <v>44868</v>
      </c>
      <c r="E148" s="29" t="s">
        <v>51</v>
      </c>
      <c r="F148" s="36">
        <v>100</v>
      </c>
      <c r="G148" s="36"/>
      <c r="H148" s="38">
        <f t="shared" si="13"/>
        <v>0</v>
      </c>
      <c r="I148" s="30"/>
    </row>
    <row r="149" spans="1:9" ht="12.75" customHeight="1" x14ac:dyDescent="0.25">
      <c r="A149" s="37">
        <f t="shared" si="10"/>
        <v>12</v>
      </c>
      <c r="B149" s="37">
        <f t="shared" si="11"/>
        <v>2022</v>
      </c>
      <c r="C149" s="37" t="str">
        <f t="shared" si="12"/>
        <v>Rent: 1</v>
      </c>
      <c r="D149" s="40" t="str">
        <f>MOD(MONTH(D147), 12)+1 &amp; "/1/" &amp; IF(MONTH(D147)&gt;11, YEAR(D147)+1, YEAR(D147))</f>
        <v>12/1/2022</v>
      </c>
      <c r="E149" s="39" t="str">
        <f>"Rent: "&amp;LOOKUP(A149-1, Months, TextMonths)&amp;" '"&amp;B149</f>
        <v>Rent: Dec '2022</v>
      </c>
      <c r="F149" s="36"/>
      <c r="G149" s="36">
        <v>3200</v>
      </c>
      <c r="H149" s="38">
        <f t="shared" si="13"/>
        <v>3200</v>
      </c>
    </row>
    <row r="150" spans="1:9" ht="12.75" customHeight="1" x14ac:dyDescent="0.25">
      <c r="A150" s="37">
        <f t="shared" si="10"/>
        <v>12</v>
      </c>
      <c r="B150" s="37">
        <f t="shared" si="11"/>
        <v>2022</v>
      </c>
      <c r="C150" s="37" t="str">
        <f t="shared" si="12"/>
        <v>Income: 1</v>
      </c>
      <c r="D150" s="28">
        <v>44900</v>
      </c>
      <c r="E150" s="29" t="s">
        <v>51</v>
      </c>
      <c r="F150" s="36">
        <v>2000</v>
      </c>
      <c r="G150" s="36"/>
      <c r="H150" s="38">
        <f t="shared" si="13"/>
        <v>1200</v>
      </c>
      <c r="I150" s="30"/>
    </row>
    <row r="151" spans="1:9" ht="12.75" customHeight="1" x14ac:dyDescent="0.25">
      <c r="A151" s="37">
        <f t="shared" si="10"/>
        <v>11</v>
      </c>
      <c r="B151" s="37">
        <f t="shared" si="11"/>
        <v>2022</v>
      </c>
      <c r="C151" s="37" t="str">
        <f t="shared" si="12"/>
        <v>Income: 1</v>
      </c>
      <c r="D151" s="28">
        <v>44868</v>
      </c>
      <c r="E151" s="29" t="s">
        <v>51</v>
      </c>
      <c r="F151" s="36">
        <v>1200</v>
      </c>
      <c r="G151" s="36"/>
      <c r="H151" s="38">
        <f t="shared" si="13"/>
        <v>0</v>
      </c>
      <c r="I151" s="30"/>
    </row>
    <row r="152" spans="1:9" ht="12.75" customHeight="1" x14ac:dyDescent="0.25">
      <c r="F152" s="36"/>
      <c r="G152" s="36"/>
      <c r="H152" s="36"/>
    </row>
    <row r="153" spans="1:9" ht="12.75" customHeight="1" x14ac:dyDescent="0.25">
      <c r="F153" s="36"/>
      <c r="G153" s="36"/>
      <c r="H153" s="36"/>
    </row>
    <row r="154" spans="1:9" ht="12.75" customHeight="1" x14ac:dyDescent="0.25">
      <c r="F154" s="36"/>
      <c r="G154" s="36"/>
      <c r="H154" s="36"/>
    </row>
    <row r="155" spans="1:9" ht="12.75" customHeight="1" x14ac:dyDescent="0.25">
      <c r="F155" s="36"/>
      <c r="G155" s="36"/>
      <c r="H155" s="36"/>
    </row>
    <row r="156" spans="1:9" ht="12.75" customHeight="1" x14ac:dyDescent="0.25">
      <c r="F156" s="36"/>
      <c r="G156" s="36"/>
      <c r="H156" s="36"/>
    </row>
    <row r="157" spans="1:9" ht="12.75" customHeight="1" x14ac:dyDescent="0.25">
      <c r="F157" s="36"/>
      <c r="G157" s="36"/>
      <c r="H157" s="36"/>
    </row>
    <row r="158" spans="1:9" ht="12.75" customHeight="1" x14ac:dyDescent="0.25">
      <c r="F158" s="36"/>
      <c r="G158" s="36"/>
      <c r="H158" s="36"/>
    </row>
    <row r="159" spans="1:9" ht="12.75" customHeight="1" x14ac:dyDescent="0.25">
      <c r="F159" s="36"/>
      <c r="G159" s="36"/>
      <c r="H159" s="36"/>
    </row>
    <row r="160" spans="1:9" ht="12.75" customHeight="1" x14ac:dyDescent="0.25">
      <c r="F160" s="36"/>
      <c r="G160" s="36"/>
      <c r="H160" s="36"/>
    </row>
    <row r="161" spans="6:8" ht="12.75" customHeight="1" x14ac:dyDescent="0.25">
      <c r="F161" s="36"/>
      <c r="G161" s="36"/>
      <c r="H161" s="36"/>
    </row>
    <row r="162" spans="6:8" ht="12.75" customHeight="1" x14ac:dyDescent="0.25">
      <c r="F162" s="36"/>
      <c r="G162" s="36"/>
      <c r="H162" s="36"/>
    </row>
    <row r="163" spans="6:8" ht="12.75" customHeight="1" x14ac:dyDescent="0.25">
      <c r="F163" s="36"/>
      <c r="G163" s="36"/>
      <c r="H163" s="36"/>
    </row>
    <row r="164" spans="6:8" ht="12.75" customHeight="1" x14ac:dyDescent="0.25">
      <c r="F164" s="36"/>
      <c r="G164" s="36"/>
      <c r="H164" s="36"/>
    </row>
    <row r="165" spans="6:8" ht="12.75" customHeight="1" x14ac:dyDescent="0.25">
      <c r="F165" s="36"/>
      <c r="G165" s="36"/>
      <c r="H165" s="36"/>
    </row>
    <row r="166" spans="6:8" ht="12.75" customHeight="1" x14ac:dyDescent="0.25">
      <c r="F166" s="36"/>
      <c r="G166" s="36"/>
      <c r="H166" s="36"/>
    </row>
    <row r="167" spans="6:8" ht="12.75" customHeight="1" x14ac:dyDescent="0.25">
      <c r="F167" s="36"/>
      <c r="G167" s="36"/>
      <c r="H167" s="36"/>
    </row>
    <row r="168" spans="6:8" ht="12.75" customHeight="1" x14ac:dyDescent="0.25">
      <c r="F168" s="36"/>
      <c r="G168" s="36"/>
      <c r="H168" s="36"/>
    </row>
    <row r="169" spans="6:8" ht="12.75" customHeight="1" x14ac:dyDescent="0.25">
      <c r="F169" s="36"/>
      <c r="G169" s="36"/>
      <c r="H169" s="36"/>
    </row>
    <row r="170" spans="6:8" ht="12.75" customHeight="1" x14ac:dyDescent="0.25">
      <c r="F170" s="36"/>
      <c r="G170" s="36"/>
      <c r="H170" s="36"/>
    </row>
    <row r="171" spans="6:8" ht="12.75" customHeight="1" x14ac:dyDescent="0.25">
      <c r="F171" s="36"/>
      <c r="G171" s="36"/>
      <c r="H171" s="36"/>
    </row>
    <row r="172" spans="6:8" ht="12.75" customHeight="1" x14ac:dyDescent="0.25">
      <c r="F172" s="36"/>
      <c r="G172" s="36"/>
      <c r="H172" s="36"/>
    </row>
    <row r="173" spans="6:8" ht="12.75" customHeight="1" x14ac:dyDescent="0.25">
      <c r="F173" s="36"/>
      <c r="G173" s="36"/>
      <c r="H173" s="36"/>
    </row>
    <row r="174" spans="6:8" ht="12.75" customHeight="1" x14ac:dyDescent="0.25">
      <c r="F174" s="36"/>
      <c r="G174" s="36"/>
      <c r="H174" s="36"/>
    </row>
    <row r="175" spans="6:8" ht="12.75" customHeight="1" x14ac:dyDescent="0.25">
      <c r="F175" s="36"/>
      <c r="G175" s="36"/>
      <c r="H175" s="36"/>
    </row>
    <row r="176" spans="6:8" ht="12.75" customHeight="1" x14ac:dyDescent="0.25">
      <c r="F176" s="36"/>
      <c r="G176" s="36"/>
      <c r="H176" s="36"/>
    </row>
    <row r="177" spans="6:8" ht="12.75" customHeight="1" x14ac:dyDescent="0.25">
      <c r="F177" s="36"/>
      <c r="G177" s="36"/>
      <c r="H177" s="36"/>
    </row>
    <row r="178" spans="6:8" ht="12.75" customHeight="1" x14ac:dyDescent="0.25">
      <c r="F178" s="36"/>
      <c r="G178" s="36"/>
      <c r="H178" s="36"/>
    </row>
    <row r="179" spans="6:8" ht="12.75" customHeight="1" x14ac:dyDescent="0.25">
      <c r="F179" s="36"/>
      <c r="G179" s="36"/>
      <c r="H179" s="36"/>
    </row>
    <row r="180" spans="6:8" ht="12.75" customHeight="1" x14ac:dyDescent="0.25">
      <c r="F180" s="36"/>
      <c r="G180" s="36"/>
      <c r="H180" s="36"/>
    </row>
    <row r="181" spans="6:8" ht="12.75" customHeight="1" x14ac:dyDescent="0.25">
      <c r="F181" s="36"/>
      <c r="G181" s="36"/>
      <c r="H181" s="36"/>
    </row>
    <row r="182" spans="6:8" ht="12.75" customHeight="1" x14ac:dyDescent="0.25">
      <c r="F182" s="36"/>
      <c r="G182" s="36"/>
      <c r="H182" s="36"/>
    </row>
    <row r="183" spans="6:8" ht="12.75" customHeight="1" x14ac:dyDescent="0.25">
      <c r="F183" s="36"/>
      <c r="G183" s="36"/>
      <c r="H183" s="36"/>
    </row>
    <row r="184" spans="6:8" ht="12.75" customHeight="1" x14ac:dyDescent="0.25">
      <c r="F184" s="36"/>
      <c r="G184" s="36"/>
      <c r="H184" s="36"/>
    </row>
    <row r="185" spans="6:8" ht="12.75" customHeight="1" x14ac:dyDescent="0.25">
      <c r="F185" s="36"/>
      <c r="G185" s="36"/>
      <c r="H185" s="36"/>
    </row>
    <row r="186" spans="6:8" ht="12.75" customHeight="1" x14ac:dyDescent="0.25">
      <c r="F186" s="36"/>
      <c r="G186" s="36"/>
      <c r="H186" s="36"/>
    </row>
    <row r="187" spans="6:8" ht="12.75" customHeight="1" x14ac:dyDescent="0.25">
      <c r="F187" s="36"/>
      <c r="G187" s="36"/>
      <c r="H187" s="36"/>
    </row>
    <row r="188" spans="6:8" ht="12.75" customHeight="1" x14ac:dyDescent="0.25">
      <c r="F188" s="36"/>
      <c r="G188" s="36"/>
      <c r="H188" s="36"/>
    </row>
    <row r="189" spans="6:8" ht="12.75" customHeight="1" x14ac:dyDescent="0.25">
      <c r="F189" s="36"/>
      <c r="G189" s="36"/>
      <c r="H189" s="36"/>
    </row>
    <row r="190" spans="6:8" ht="12.75" customHeight="1" x14ac:dyDescent="0.25">
      <c r="F190" s="36"/>
      <c r="G190" s="36"/>
      <c r="H190" s="36"/>
    </row>
    <row r="191" spans="6:8" ht="12.75" customHeight="1" x14ac:dyDescent="0.25">
      <c r="F191" s="36"/>
      <c r="G191" s="36"/>
      <c r="H191" s="36"/>
    </row>
    <row r="192" spans="6:8" ht="12.75" customHeight="1" x14ac:dyDescent="0.25">
      <c r="F192" s="36"/>
      <c r="G192" s="36"/>
      <c r="H192" s="36"/>
    </row>
    <row r="193" spans="6:8" ht="12.75" customHeight="1" x14ac:dyDescent="0.25">
      <c r="F193" s="36"/>
      <c r="G193" s="36"/>
      <c r="H193" s="36"/>
    </row>
    <row r="194" spans="6:8" ht="12.75" customHeight="1" x14ac:dyDescent="0.25">
      <c r="F194" s="36"/>
      <c r="G194" s="36"/>
      <c r="H194" s="36"/>
    </row>
    <row r="195" spans="6:8" ht="12.75" customHeight="1" x14ac:dyDescent="0.25">
      <c r="F195" s="36"/>
      <c r="G195" s="36"/>
      <c r="H195" s="36"/>
    </row>
    <row r="196" spans="6:8" ht="12.75" customHeight="1" x14ac:dyDescent="0.25">
      <c r="F196" s="36"/>
      <c r="G196" s="36"/>
      <c r="H196" s="36"/>
    </row>
    <row r="197" spans="6:8" ht="12.75" customHeight="1" x14ac:dyDescent="0.25">
      <c r="F197" s="36"/>
      <c r="G197" s="36"/>
      <c r="H197" s="36"/>
    </row>
    <row r="198" spans="6:8" ht="12.75" customHeight="1" x14ac:dyDescent="0.25">
      <c r="F198" s="36"/>
      <c r="G198" s="36"/>
      <c r="H198" s="36"/>
    </row>
    <row r="199" spans="6:8" ht="12.75" customHeight="1" x14ac:dyDescent="0.25">
      <c r="F199" s="36"/>
      <c r="G199" s="36"/>
      <c r="H199" s="36"/>
    </row>
    <row r="200" spans="6:8" ht="12.75" customHeight="1" x14ac:dyDescent="0.25">
      <c r="F200" s="36"/>
      <c r="G200" s="36"/>
      <c r="H200" s="36"/>
    </row>
    <row r="201" spans="6:8" ht="12.75" customHeight="1" x14ac:dyDescent="0.25">
      <c r="F201" s="36"/>
      <c r="G201" s="36"/>
      <c r="H201" s="36"/>
    </row>
    <row r="202" spans="6:8" ht="12.75" customHeight="1" x14ac:dyDescent="0.25">
      <c r="F202" s="36"/>
      <c r="G202" s="36"/>
      <c r="H202" s="36"/>
    </row>
    <row r="203" spans="6:8" ht="12.75" customHeight="1" x14ac:dyDescent="0.25">
      <c r="F203" s="36"/>
      <c r="G203" s="36"/>
      <c r="H203" s="36"/>
    </row>
    <row r="204" spans="6:8" ht="12.75" customHeight="1" x14ac:dyDescent="0.25">
      <c r="F204" s="36"/>
      <c r="G204" s="36"/>
      <c r="H204" s="36"/>
    </row>
    <row r="205" spans="6:8" ht="12.75" customHeight="1" x14ac:dyDescent="0.25">
      <c r="F205" s="36"/>
      <c r="G205" s="36"/>
      <c r="H205" s="36"/>
    </row>
    <row r="206" spans="6:8" ht="12.75" customHeight="1" x14ac:dyDescent="0.25">
      <c r="F206" s="36"/>
      <c r="G206" s="36"/>
      <c r="H206" s="36"/>
    </row>
    <row r="207" spans="6:8" ht="12.75" customHeight="1" x14ac:dyDescent="0.25">
      <c r="F207" s="36"/>
      <c r="G207" s="36"/>
      <c r="H207" s="36"/>
    </row>
    <row r="208" spans="6:8" ht="12.75" customHeight="1" x14ac:dyDescent="0.25">
      <c r="F208" s="36"/>
      <c r="G208" s="36"/>
      <c r="H208" s="36"/>
    </row>
    <row r="209" spans="6:8" ht="12.75" customHeight="1" x14ac:dyDescent="0.25">
      <c r="F209" s="36"/>
      <c r="G209" s="36"/>
      <c r="H209" s="36"/>
    </row>
    <row r="210" spans="6:8" ht="12.75" customHeight="1" x14ac:dyDescent="0.25">
      <c r="F210" s="36"/>
      <c r="G210" s="36"/>
      <c r="H210" s="36"/>
    </row>
    <row r="211" spans="6:8" ht="12.75" customHeight="1" x14ac:dyDescent="0.25">
      <c r="F211" s="36"/>
      <c r="G211" s="36"/>
      <c r="H211" s="36"/>
    </row>
    <row r="212" spans="6:8" ht="12.75" customHeight="1" x14ac:dyDescent="0.25">
      <c r="F212" s="36"/>
      <c r="G212" s="36"/>
      <c r="H212" s="36"/>
    </row>
    <row r="213" spans="6:8" ht="12.75" customHeight="1" x14ac:dyDescent="0.25">
      <c r="F213" s="36"/>
      <c r="G213" s="36"/>
      <c r="H213" s="36"/>
    </row>
    <row r="214" spans="6:8" ht="12.75" customHeight="1" x14ac:dyDescent="0.25">
      <c r="F214" s="36"/>
      <c r="G214" s="36"/>
      <c r="H214" s="36"/>
    </row>
    <row r="215" spans="6:8" ht="12.75" customHeight="1" x14ac:dyDescent="0.25">
      <c r="F215" s="36"/>
      <c r="G215" s="36"/>
      <c r="H215" s="36"/>
    </row>
    <row r="216" spans="6:8" ht="12.75" customHeight="1" x14ac:dyDescent="0.25">
      <c r="F216" s="36"/>
      <c r="G216" s="36"/>
      <c r="H216" s="36"/>
    </row>
    <row r="217" spans="6:8" ht="12.75" customHeight="1" x14ac:dyDescent="0.25">
      <c r="F217" s="36"/>
      <c r="G217" s="36"/>
      <c r="H217" s="36"/>
    </row>
    <row r="218" spans="6:8" ht="12.75" customHeight="1" x14ac:dyDescent="0.25">
      <c r="F218" s="36"/>
      <c r="G218" s="36"/>
      <c r="H218" s="36"/>
    </row>
    <row r="219" spans="6:8" ht="12.75" customHeight="1" x14ac:dyDescent="0.25">
      <c r="F219" s="36"/>
      <c r="G219" s="36"/>
      <c r="H219" s="36"/>
    </row>
    <row r="220" spans="6:8" ht="12.75" customHeight="1" x14ac:dyDescent="0.25">
      <c r="F220" s="36"/>
      <c r="G220" s="36"/>
      <c r="H220" s="36"/>
    </row>
    <row r="221" spans="6:8" ht="12.75" customHeight="1" x14ac:dyDescent="0.25">
      <c r="F221" s="36"/>
      <c r="G221" s="36"/>
      <c r="H221" s="36"/>
    </row>
    <row r="222" spans="6:8" ht="12.75" customHeight="1" x14ac:dyDescent="0.25">
      <c r="F222" s="36"/>
      <c r="G222" s="36"/>
      <c r="H222" s="36"/>
    </row>
    <row r="223" spans="6:8" ht="12.75" customHeight="1" x14ac:dyDescent="0.25">
      <c r="F223" s="36"/>
      <c r="G223" s="36"/>
      <c r="H223" s="36"/>
    </row>
    <row r="224" spans="6:8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>
      <c r="F938" s="36"/>
      <c r="G938" s="36"/>
      <c r="H938" s="36"/>
    </row>
    <row r="939" spans="6:8" ht="12.75" customHeight="1" x14ac:dyDescent="0.25">
      <c r="F939" s="36"/>
      <c r="G939" s="36"/>
      <c r="H939" s="36"/>
    </row>
    <row r="940" spans="6:8" ht="12.75" customHeight="1" x14ac:dyDescent="0.25">
      <c r="F940" s="36"/>
      <c r="G940" s="36"/>
      <c r="H940" s="36"/>
    </row>
    <row r="941" spans="6:8" ht="12.75" customHeight="1" x14ac:dyDescent="0.25">
      <c r="F941" s="36"/>
      <c r="G941" s="36"/>
      <c r="H941" s="36"/>
    </row>
    <row r="942" spans="6:8" ht="12.75" customHeight="1" x14ac:dyDescent="0.25">
      <c r="F942" s="36"/>
      <c r="G942" s="36"/>
      <c r="H942" s="36"/>
    </row>
    <row r="943" spans="6:8" ht="12.75" customHeight="1" x14ac:dyDescent="0.25">
      <c r="F943" s="36"/>
      <c r="G943" s="36"/>
      <c r="H943" s="36"/>
    </row>
    <row r="944" spans="6:8" ht="12.75" customHeight="1" x14ac:dyDescent="0.25">
      <c r="F944" s="36"/>
      <c r="G944" s="36"/>
      <c r="H944" s="36"/>
    </row>
    <row r="945" spans="6:8" ht="12.75" customHeight="1" x14ac:dyDescent="0.25">
      <c r="F945" s="36"/>
      <c r="G945" s="36"/>
      <c r="H945" s="36"/>
    </row>
    <row r="946" spans="6:8" ht="12.75" customHeight="1" x14ac:dyDescent="0.25">
      <c r="F946" s="36"/>
      <c r="G946" s="36"/>
      <c r="H946" s="36"/>
    </row>
    <row r="947" spans="6:8" ht="12.75" customHeight="1" x14ac:dyDescent="0.25">
      <c r="F947" s="36"/>
      <c r="G947" s="36"/>
      <c r="H947" s="36"/>
    </row>
    <row r="948" spans="6:8" ht="12.75" customHeight="1" x14ac:dyDescent="0.25">
      <c r="F948" s="36"/>
      <c r="G948" s="36"/>
      <c r="H948" s="36"/>
    </row>
    <row r="949" spans="6:8" ht="12.75" customHeight="1" x14ac:dyDescent="0.25">
      <c r="F949" s="36"/>
      <c r="G949" s="36"/>
      <c r="H949" s="36"/>
    </row>
    <row r="950" spans="6:8" ht="12.75" customHeight="1" x14ac:dyDescent="0.25">
      <c r="F950" s="36"/>
      <c r="G950" s="36"/>
      <c r="H950" s="36"/>
    </row>
    <row r="951" spans="6:8" ht="12.75" customHeight="1" x14ac:dyDescent="0.25">
      <c r="F951" s="36"/>
      <c r="G951" s="36"/>
      <c r="H951" s="36"/>
    </row>
    <row r="952" spans="6:8" ht="12.75" customHeight="1" x14ac:dyDescent="0.25">
      <c r="F952" s="36"/>
      <c r="G952" s="36"/>
      <c r="H952" s="36"/>
    </row>
    <row r="953" spans="6:8" ht="12.75" customHeight="1" x14ac:dyDescent="0.25">
      <c r="F953" s="36"/>
      <c r="G953" s="36"/>
      <c r="H953" s="36"/>
    </row>
    <row r="954" spans="6:8" ht="12.75" customHeight="1" x14ac:dyDescent="0.25">
      <c r="F954" s="36"/>
      <c r="G954" s="36"/>
      <c r="H954" s="36"/>
    </row>
    <row r="955" spans="6:8" ht="12.75" customHeight="1" x14ac:dyDescent="0.25">
      <c r="F955" s="36"/>
      <c r="G955" s="36"/>
      <c r="H955" s="36"/>
    </row>
    <row r="956" spans="6:8" ht="12.75" customHeight="1" x14ac:dyDescent="0.25">
      <c r="F956" s="36"/>
      <c r="G956" s="36"/>
      <c r="H956" s="36"/>
    </row>
    <row r="957" spans="6:8" ht="12.75" customHeight="1" x14ac:dyDescent="0.25">
      <c r="F957" s="36"/>
      <c r="G957" s="36"/>
      <c r="H957" s="36"/>
    </row>
    <row r="958" spans="6:8" ht="12.75" customHeight="1" x14ac:dyDescent="0.25">
      <c r="F958" s="36"/>
      <c r="G958" s="36"/>
      <c r="H958" s="36"/>
    </row>
    <row r="959" spans="6:8" ht="12.75" customHeight="1" x14ac:dyDescent="0.25">
      <c r="F959" s="36"/>
      <c r="G959" s="36"/>
      <c r="H959" s="36"/>
    </row>
    <row r="960" spans="6:8" ht="12.75" customHeight="1" x14ac:dyDescent="0.25">
      <c r="F960" s="36"/>
      <c r="G960" s="36"/>
      <c r="H960" s="36"/>
    </row>
    <row r="961" spans="6:8" ht="12.75" customHeight="1" x14ac:dyDescent="0.25">
      <c r="F961" s="36"/>
      <c r="G961" s="36"/>
      <c r="H961" s="36"/>
    </row>
    <row r="962" spans="6:8" ht="12.75" customHeight="1" x14ac:dyDescent="0.25">
      <c r="F962" s="36"/>
      <c r="G962" s="36"/>
      <c r="H962" s="36"/>
    </row>
    <row r="963" spans="6:8" ht="12.75" customHeight="1" x14ac:dyDescent="0.25">
      <c r="F963" s="36"/>
      <c r="G963" s="36"/>
      <c r="H963" s="36"/>
    </row>
    <row r="964" spans="6:8" ht="12.75" customHeight="1" x14ac:dyDescent="0.25">
      <c r="F964" s="36"/>
      <c r="G964" s="36"/>
      <c r="H964" s="36"/>
    </row>
    <row r="965" spans="6:8" ht="12.75" customHeight="1" x14ac:dyDescent="0.25">
      <c r="F965" s="36"/>
      <c r="G965" s="36"/>
      <c r="H965" s="36"/>
    </row>
    <row r="966" spans="6:8" ht="12.75" customHeight="1" x14ac:dyDescent="0.25">
      <c r="F966" s="36"/>
      <c r="G966" s="36"/>
      <c r="H966" s="36"/>
    </row>
    <row r="967" spans="6:8" ht="12.75" customHeight="1" x14ac:dyDescent="0.25">
      <c r="F967" s="36"/>
      <c r="G967" s="36"/>
      <c r="H967" s="36"/>
    </row>
    <row r="968" spans="6:8" ht="12.75" customHeight="1" x14ac:dyDescent="0.25">
      <c r="F968" s="36"/>
      <c r="G968" s="36"/>
      <c r="H968" s="36"/>
    </row>
    <row r="969" spans="6:8" ht="12.75" customHeight="1" x14ac:dyDescent="0.25">
      <c r="F969" s="36"/>
      <c r="G969" s="36"/>
      <c r="H969" s="36"/>
    </row>
    <row r="970" spans="6:8" ht="12.75" customHeight="1" x14ac:dyDescent="0.25">
      <c r="F970" s="36"/>
      <c r="G970" s="36"/>
      <c r="H970" s="36"/>
    </row>
    <row r="971" spans="6:8" ht="12.75" customHeight="1" x14ac:dyDescent="0.25">
      <c r="F971" s="36"/>
      <c r="G971" s="36"/>
      <c r="H971" s="36"/>
    </row>
    <row r="972" spans="6:8" ht="12.75" customHeight="1" x14ac:dyDescent="0.25">
      <c r="F972" s="36"/>
      <c r="G972" s="36"/>
      <c r="H972" s="36"/>
    </row>
    <row r="973" spans="6:8" ht="12.75" customHeight="1" x14ac:dyDescent="0.25">
      <c r="F973" s="36"/>
      <c r="G973" s="36"/>
      <c r="H973" s="36"/>
    </row>
    <row r="974" spans="6:8" ht="12.75" customHeight="1" x14ac:dyDescent="0.25">
      <c r="F974" s="36"/>
      <c r="G974" s="36"/>
      <c r="H974" s="36"/>
    </row>
    <row r="975" spans="6:8" ht="12.75" customHeight="1" x14ac:dyDescent="0.25">
      <c r="F975" s="36"/>
      <c r="G975" s="36"/>
      <c r="H975" s="36"/>
    </row>
    <row r="976" spans="6:8" ht="12.75" customHeight="1" x14ac:dyDescent="0.25">
      <c r="F976" s="36"/>
      <c r="G976" s="36"/>
      <c r="H976" s="36"/>
    </row>
    <row r="977" spans="6:8" ht="12.75" customHeight="1" x14ac:dyDescent="0.25">
      <c r="F977" s="36"/>
      <c r="G977" s="36"/>
      <c r="H977" s="36"/>
    </row>
    <row r="978" spans="6:8" ht="12.75" customHeight="1" x14ac:dyDescent="0.25">
      <c r="F978" s="36"/>
      <c r="G978" s="36"/>
      <c r="H978" s="36"/>
    </row>
    <row r="979" spans="6:8" ht="12.75" customHeight="1" x14ac:dyDescent="0.25">
      <c r="F979" s="36"/>
      <c r="G979" s="36"/>
      <c r="H979" s="36"/>
    </row>
    <row r="980" spans="6:8" ht="12.75" customHeight="1" x14ac:dyDescent="0.25">
      <c r="F980" s="36"/>
      <c r="G980" s="36"/>
      <c r="H980" s="36"/>
    </row>
    <row r="981" spans="6:8" ht="12.75" customHeight="1" x14ac:dyDescent="0.25">
      <c r="F981" s="36"/>
      <c r="G981" s="36"/>
      <c r="H981" s="36"/>
    </row>
    <row r="982" spans="6:8" ht="12.75" customHeight="1" x14ac:dyDescent="0.25">
      <c r="F982" s="36"/>
      <c r="G982" s="36"/>
      <c r="H982" s="36"/>
    </row>
    <row r="983" spans="6:8" ht="12.75" customHeight="1" x14ac:dyDescent="0.25">
      <c r="F983" s="36"/>
      <c r="G983" s="36"/>
      <c r="H983" s="36"/>
    </row>
    <row r="984" spans="6:8" ht="12.75" customHeight="1" x14ac:dyDescent="0.25">
      <c r="F984" s="36"/>
      <c r="G984" s="36"/>
      <c r="H984" s="36"/>
    </row>
    <row r="985" spans="6:8" ht="12.75" customHeight="1" x14ac:dyDescent="0.25">
      <c r="F985" s="36"/>
      <c r="G985" s="36"/>
      <c r="H985" s="36"/>
    </row>
    <row r="986" spans="6:8" ht="12.75" customHeight="1" x14ac:dyDescent="0.25">
      <c r="F986" s="36"/>
      <c r="G986" s="36"/>
      <c r="H986" s="36"/>
    </row>
    <row r="987" spans="6:8" ht="12.75" customHeight="1" x14ac:dyDescent="0.25">
      <c r="F987" s="36"/>
      <c r="G987" s="36"/>
      <c r="H987" s="36"/>
    </row>
    <row r="988" spans="6:8" ht="12.75" customHeight="1" x14ac:dyDescent="0.25">
      <c r="F988" s="36"/>
      <c r="G988" s="36"/>
      <c r="H988" s="36"/>
    </row>
    <row r="989" spans="6:8" ht="12.75" customHeight="1" x14ac:dyDescent="0.25">
      <c r="F989" s="36"/>
      <c r="G989" s="36"/>
      <c r="H989" s="36"/>
    </row>
    <row r="990" spans="6:8" ht="12.75" customHeight="1" x14ac:dyDescent="0.25">
      <c r="F990" s="36"/>
      <c r="G990" s="36"/>
      <c r="H990" s="36"/>
    </row>
    <row r="991" spans="6:8" ht="12.75" customHeight="1" x14ac:dyDescent="0.25">
      <c r="F991" s="36"/>
      <c r="G991" s="36"/>
      <c r="H991" s="36"/>
    </row>
    <row r="992" spans="6:8" ht="12.75" customHeight="1" x14ac:dyDescent="0.25">
      <c r="F992" s="36"/>
      <c r="G992" s="36"/>
      <c r="H992" s="36"/>
    </row>
    <row r="993" spans="6:8" ht="12.75" customHeight="1" x14ac:dyDescent="0.25">
      <c r="F993" s="36"/>
      <c r="G993" s="36"/>
      <c r="H993" s="36"/>
    </row>
    <row r="994" spans="6:8" ht="12.75" customHeight="1" x14ac:dyDescent="0.25">
      <c r="F994" s="36"/>
      <c r="G994" s="36"/>
      <c r="H994" s="36"/>
    </row>
    <row r="995" spans="6:8" ht="12.75" customHeight="1" x14ac:dyDescent="0.25">
      <c r="F995" s="36"/>
      <c r="G995" s="36"/>
      <c r="H995" s="36"/>
    </row>
    <row r="996" spans="6:8" ht="12.75" customHeight="1" x14ac:dyDescent="0.25">
      <c r="F996" s="36"/>
      <c r="G996" s="36"/>
      <c r="H996" s="36"/>
    </row>
    <row r="997" spans="6:8" ht="12.75" customHeight="1" x14ac:dyDescent="0.25">
      <c r="F997" s="36"/>
      <c r="G997" s="36"/>
      <c r="H997" s="36"/>
    </row>
    <row r="998" spans="6:8" ht="12.75" customHeight="1" x14ac:dyDescent="0.25">
      <c r="F998" s="36"/>
      <c r="G998" s="36"/>
      <c r="H998" s="36"/>
    </row>
    <row r="999" spans="6:8" ht="12.75" customHeight="1" x14ac:dyDescent="0.25">
      <c r="F999" s="36"/>
      <c r="G999" s="36"/>
      <c r="H999" s="36"/>
    </row>
    <row r="1000" spans="6:8" ht="12.75" customHeight="1" x14ac:dyDescent="0.25">
      <c r="F1000" s="36"/>
      <c r="G1000" s="36"/>
      <c r="H1000" s="36"/>
    </row>
    <row r="1001" spans="6:8" ht="12.75" customHeight="1" x14ac:dyDescent="0.25">
      <c r="F1001" s="36"/>
      <c r="G1001" s="36"/>
      <c r="H1001" s="36"/>
    </row>
    <row r="1002" spans="6:8" ht="12.75" customHeight="1" x14ac:dyDescent="0.25">
      <c r="F1002" s="36"/>
      <c r="G1002" s="36"/>
      <c r="H1002" s="36"/>
    </row>
    <row r="1003" spans="6:8" ht="12.75" customHeight="1" x14ac:dyDescent="0.25">
      <c r="F1003" s="36"/>
      <c r="G1003" s="36"/>
      <c r="H1003" s="36"/>
    </row>
  </sheetData>
  <mergeCells count="1">
    <mergeCell ref="I4:K4"/>
  </mergeCells>
  <dataValidations count="1">
    <dataValidation type="list" allowBlank="1" showErrorMessage="1" sqref="F1" xr:uid="{00000000-0002-0000-0700-000001000000}">
      <formula1>Years</formula1>
    </dataValidation>
  </dataValidations>
  <pageMargins left="0.75" right="0.75" top="1" bottom="1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N1002"/>
  <sheetViews>
    <sheetView zoomScaleNormal="100" workbookViewId="0">
      <pane xSplit="3" ySplit="4" topLeftCell="D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4296875" defaultRowHeight="15" customHeight="1" x14ac:dyDescent="0.25"/>
  <cols>
    <col min="1" max="1" width="6.1796875" customWidth="1"/>
    <col min="2" max="2" width="8.54296875" customWidth="1"/>
    <col min="3" max="3" width="9.453125" customWidth="1"/>
    <col min="4" max="4" width="10.1796875" customWidth="1"/>
    <col min="5" max="5" width="36.1796875" customWidth="1"/>
    <col min="6" max="6" width="13.453125" customWidth="1"/>
    <col min="7" max="8" width="14.81640625" customWidth="1"/>
    <col min="9" max="9" width="12.54296875" customWidth="1"/>
    <col min="10" max="10" width="10.1796875" customWidth="1"/>
    <col min="11" max="11" width="14.1796875" customWidth="1"/>
    <col min="12" max="12" width="12" customWidth="1"/>
    <col min="13" max="13" width="14.81640625" customWidth="1"/>
    <col min="14" max="14" width="12.1796875" customWidth="1"/>
    <col min="15" max="26" width="8.54296875" customWidth="1"/>
  </cols>
  <sheetData>
    <row r="1" spans="1:14" ht="12.75" customHeight="1" x14ac:dyDescent="0.25">
      <c r="C1" t="s">
        <v>123</v>
      </c>
      <c r="D1" s="160" t="s">
        <v>137</v>
      </c>
      <c r="E1" s="102"/>
      <c r="F1" s="102"/>
      <c r="G1" s="148" t="s">
        <v>119</v>
      </c>
      <c r="H1" s="34"/>
      <c r="I1" s="145"/>
      <c r="J1" s="102"/>
    </row>
    <row r="2" spans="1:14" ht="12.75" customHeight="1" x14ac:dyDescent="0.25">
      <c r="D2" t="s">
        <v>136</v>
      </c>
      <c r="E2" s="102"/>
      <c r="F2" s="146"/>
      <c r="G2" s="149">
        <v>3</v>
      </c>
      <c r="H2" s="103"/>
      <c r="I2" s="151" t="s">
        <v>41</v>
      </c>
      <c r="J2" s="102"/>
    </row>
    <row r="3" spans="1:14" ht="12.75" customHeight="1" x14ac:dyDescent="0.35">
      <c r="A3" s="30">
        <f>COUNTIF(A5:A65525, "&lt;&gt;")+4</f>
        <v>207</v>
      </c>
      <c r="B3">
        <f>MAX(B5:B853)</f>
        <v>2023</v>
      </c>
      <c r="D3" s="35" cm="1">
        <f t="array" ref="D3">INDEX(D5:D65536, A3)</f>
        <v>0</v>
      </c>
      <c r="E3" s="120"/>
      <c r="F3" s="103"/>
      <c r="G3" s="147" t="s">
        <v>40</v>
      </c>
      <c r="H3" s="150">
        <f>INDEX(H1:H65518, A3)</f>
        <v>-2.9499999986910552E-3</v>
      </c>
      <c r="I3" s="152">
        <v>45708</v>
      </c>
      <c r="J3" s="103"/>
      <c r="K3" s="67" t="s">
        <v>63</v>
      </c>
    </row>
    <row r="4" spans="1:14" ht="12.75" customHeight="1" x14ac:dyDescent="0.3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181" t="s">
        <v>64</v>
      </c>
      <c r="J4" s="182"/>
      <c r="K4" s="183"/>
      <c r="L4" s="69" t="s">
        <v>65</v>
      </c>
    </row>
    <row r="5" spans="1:14" ht="12.75" customHeight="1" x14ac:dyDescent="0.3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4" ht="12.75" customHeight="1" thickBot="1" x14ac:dyDescent="0.35">
      <c r="A6" s="166" t="s">
        <v>120</v>
      </c>
      <c r="D6" s="167" t="s">
        <v>155</v>
      </c>
      <c r="E6" s="160" t="s">
        <v>156</v>
      </c>
    </row>
    <row r="7" spans="1:14" ht="12.75" customHeight="1" x14ac:dyDescent="0.35">
      <c r="A7" s="42">
        <f t="shared" ref="A7:A116" si="0">MONTH(D7)</f>
        <v>12</v>
      </c>
      <c r="B7" s="42">
        <f t="shared" ref="B7:B116" si="1">YEAR(D7)</f>
        <v>2016</v>
      </c>
      <c r="C7" s="42" t="str">
        <f t="shared" ref="C7:C193" si="2">IFERROR("Rent: "&amp;FIND("Rent",E7),IFERROR("Priv Tax: "&amp;FIND("Tax",E7), IFERROR("Income: "&amp;FIND("Payment",E7,1),"")))</f>
        <v/>
      </c>
      <c r="D7" s="52">
        <v>42732</v>
      </c>
      <c r="E7" s="73" t="s">
        <v>71</v>
      </c>
      <c r="F7" s="45"/>
      <c r="G7" s="45">
        <v>250</v>
      </c>
      <c r="H7" s="74">
        <f>G7</f>
        <v>250</v>
      </c>
      <c r="I7" s="102"/>
      <c r="J7" s="102"/>
      <c r="K7" s="102"/>
      <c r="L7" s="102"/>
    </row>
    <row r="8" spans="1:14" ht="12.75" customHeight="1" x14ac:dyDescent="0.35">
      <c r="A8" s="37">
        <f t="shared" si="0"/>
        <v>12</v>
      </c>
      <c r="B8" s="37">
        <f t="shared" si="1"/>
        <v>2016</v>
      </c>
      <c r="C8" s="37" t="str">
        <f t="shared" si="2"/>
        <v/>
      </c>
      <c r="D8" s="28">
        <v>42732</v>
      </c>
      <c r="E8" s="70" t="s">
        <v>72</v>
      </c>
      <c r="F8" s="36"/>
      <c r="G8" s="36">
        <v>250</v>
      </c>
      <c r="H8" s="38">
        <f t="shared" ref="H8:H116" si="3">H7+G8-F8</f>
        <v>500</v>
      </c>
      <c r="I8" s="120"/>
      <c r="J8" s="120"/>
      <c r="K8" s="120"/>
      <c r="L8" s="102"/>
      <c r="M8" s="36"/>
      <c r="N8" s="36"/>
    </row>
    <row r="9" spans="1:14" ht="12.75" customHeight="1" x14ac:dyDescent="0.35">
      <c r="A9" s="37">
        <f t="shared" si="0"/>
        <v>12</v>
      </c>
      <c r="B9" s="37">
        <f t="shared" si="1"/>
        <v>2016</v>
      </c>
      <c r="C9" s="37" t="str">
        <f t="shared" si="2"/>
        <v/>
      </c>
      <c r="D9" s="28">
        <v>42732</v>
      </c>
      <c r="E9" s="70" t="s">
        <v>49</v>
      </c>
      <c r="F9" s="36"/>
      <c r="G9" s="36">
        <v>1350</v>
      </c>
      <c r="H9" s="38">
        <f t="shared" si="3"/>
        <v>1850</v>
      </c>
      <c r="I9" s="102"/>
      <c r="J9" s="157"/>
      <c r="K9" s="120"/>
      <c r="L9" s="102"/>
      <c r="M9" s="30"/>
      <c r="N9" s="15"/>
    </row>
    <row r="10" spans="1:14" ht="12.75" customHeight="1" x14ac:dyDescent="0.35">
      <c r="A10" s="37">
        <f t="shared" si="0"/>
        <v>12</v>
      </c>
      <c r="B10" s="37">
        <f t="shared" si="1"/>
        <v>2016</v>
      </c>
      <c r="C10" s="37" t="str">
        <f t="shared" si="2"/>
        <v>Rent: 10</v>
      </c>
      <c r="D10" s="28">
        <v>42732</v>
      </c>
      <c r="E10" s="1" t="s">
        <v>73</v>
      </c>
      <c r="F10" s="36"/>
      <c r="G10" s="36">
        <v>186</v>
      </c>
      <c r="H10" s="38">
        <f t="shared" si="3"/>
        <v>2036</v>
      </c>
      <c r="I10" s="102"/>
      <c r="J10" s="146"/>
      <c r="K10" s="120"/>
      <c r="L10" s="102"/>
      <c r="M10" s="36"/>
      <c r="N10" s="15"/>
    </row>
    <row r="11" spans="1:14" ht="12.75" customHeight="1" thickBot="1" x14ac:dyDescent="0.4">
      <c r="A11" s="47">
        <f t="shared" si="0"/>
        <v>12</v>
      </c>
      <c r="B11" s="47">
        <f t="shared" si="1"/>
        <v>2016</v>
      </c>
      <c r="C11" s="47" t="str">
        <f t="shared" si="2"/>
        <v/>
      </c>
      <c r="D11" s="48">
        <v>42732</v>
      </c>
      <c r="E11" s="76" t="s">
        <v>50</v>
      </c>
      <c r="F11" s="50">
        <v>500</v>
      </c>
      <c r="G11" s="50"/>
      <c r="H11" s="77">
        <f t="shared" si="3"/>
        <v>1536</v>
      </c>
      <c r="I11" s="102"/>
      <c r="J11" s="102"/>
      <c r="K11" s="102"/>
      <c r="L11" s="102"/>
      <c r="N11" s="15"/>
    </row>
    <row r="12" spans="1:14" ht="12.75" customHeight="1" x14ac:dyDescent="0.35">
      <c r="A12" s="37">
        <f t="shared" si="0"/>
        <v>12</v>
      </c>
      <c r="B12" s="37">
        <f t="shared" si="1"/>
        <v>2016</v>
      </c>
      <c r="C12" s="37" t="str">
        <f t="shared" si="2"/>
        <v/>
      </c>
      <c r="D12" s="28">
        <v>42732</v>
      </c>
      <c r="E12" s="1" t="s">
        <v>50</v>
      </c>
      <c r="F12" s="36">
        <v>2931</v>
      </c>
      <c r="G12" s="36"/>
      <c r="H12" s="38">
        <f t="shared" si="3"/>
        <v>-1395</v>
      </c>
      <c r="I12" s="102"/>
      <c r="J12" s="120"/>
      <c r="K12" s="120"/>
      <c r="L12" s="102"/>
      <c r="N12" s="15"/>
    </row>
    <row r="13" spans="1:14" ht="12.75" customHeight="1" x14ac:dyDescent="0.25">
      <c r="A13" s="37">
        <f t="shared" si="0"/>
        <v>1</v>
      </c>
      <c r="B13" s="37">
        <f t="shared" si="1"/>
        <v>2017</v>
      </c>
      <c r="C13" s="37" t="str">
        <f t="shared" si="2"/>
        <v>Rent: 1</v>
      </c>
      <c r="D13" s="40">
        <v>42736</v>
      </c>
      <c r="E13" s="39" t="str">
        <f>"Rent: "&amp;LOOKUP(A13-1, Months, TextMonths)&amp;" '"&amp;B13</f>
        <v>Rent: Jan '2017</v>
      </c>
      <c r="F13" s="36"/>
      <c r="G13" s="36">
        <v>1395</v>
      </c>
      <c r="H13" s="38">
        <f t="shared" si="3"/>
        <v>0</v>
      </c>
      <c r="I13" s="102"/>
      <c r="J13" s="157"/>
      <c r="K13" s="120"/>
      <c r="L13" s="102"/>
      <c r="M13" s="36"/>
      <c r="N13" s="36"/>
    </row>
    <row r="14" spans="1:14" ht="12.75" customHeight="1" x14ac:dyDescent="0.25">
      <c r="A14" s="37">
        <f t="shared" si="0"/>
        <v>2</v>
      </c>
      <c r="B14" s="37">
        <f t="shared" si="1"/>
        <v>2017</v>
      </c>
      <c r="C14" s="37" t="str">
        <f t="shared" si="2"/>
        <v>Rent: 1</v>
      </c>
      <c r="D14" s="40" t="str">
        <f>MONTH(D13)+1 &amp; "/1/" &amp; YEAR(D13)</f>
        <v>2/1/2017</v>
      </c>
      <c r="E14" s="39" t="str">
        <f>"Rent: "&amp;LOOKUP(A14-1, Months, TextMonths)&amp;" '"&amp;B14</f>
        <v>Rent: Feb '2017</v>
      </c>
      <c r="F14" s="36"/>
      <c r="G14" s="36">
        <v>1395</v>
      </c>
      <c r="H14" s="38">
        <f t="shared" si="3"/>
        <v>1395</v>
      </c>
      <c r="I14" s="102"/>
      <c r="J14" s="157"/>
      <c r="K14" s="120"/>
      <c r="L14" s="102"/>
      <c r="M14" s="36"/>
      <c r="N14" s="36"/>
    </row>
    <row r="15" spans="1:14" ht="12.75" customHeight="1" x14ac:dyDescent="0.35">
      <c r="A15" s="37">
        <f t="shared" si="0"/>
        <v>2</v>
      </c>
      <c r="B15" s="37">
        <f t="shared" si="1"/>
        <v>2017</v>
      </c>
      <c r="C15" s="37" t="str">
        <f t="shared" si="2"/>
        <v>Income: 1</v>
      </c>
      <c r="D15" s="41">
        <v>42767</v>
      </c>
      <c r="E15" s="1" t="s">
        <v>51</v>
      </c>
      <c r="F15" s="36">
        <v>1395</v>
      </c>
      <c r="G15" s="36"/>
      <c r="H15" s="38">
        <f t="shared" si="3"/>
        <v>0</v>
      </c>
      <c r="I15" s="102"/>
      <c r="J15" s="102"/>
      <c r="K15" s="120"/>
      <c r="L15" s="102"/>
    </row>
    <row r="16" spans="1:14" ht="12.75" customHeight="1" x14ac:dyDescent="0.25">
      <c r="A16" s="37">
        <f t="shared" si="0"/>
        <v>3</v>
      </c>
      <c r="B16" s="37">
        <f t="shared" si="1"/>
        <v>2017</v>
      </c>
      <c r="C16" s="37" t="str">
        <f t="shared" si="2"/>
        <v>Rent: 1</v>
      </c>
      <c r="D16" s="40" t="str">
        <f>MONTH(D14)+1 &amp; "/1/" &amp; YEAR(D14)</f>
        <v>3/1/2017</v>
      </c>
      <c r="E16" s="39" t="str">
        <f>"Rent: "&amp;LOOKUP(A16-1, Months, TextMonths)&amp;" '"&amp;B16</f>
        <v>Rent: Mar '2017</v>
      </c>
      <c r="F16" s="36"/>
      <c r="G16" s="36">
        <v>1395</v>
      </c>
      <c r="H16" s="38">
        <f t="shared" si="3"/>
        <v>1395</v>
      </c>
      <c r="I16" s="103"/>
      <c r="J16" s="103"/>
      <c r="K16" s="120"/>
      <c r="L16" s="102"/>
    </row>
    <row r="17" spans="1:14" ht="12.75" customHeight="1" thickBot="1" x14ac:dyDescent="0.4">
      <c r="A17" s="37">
        <f t="shared" si="0"/>
        <v>3</v>
      </c>
      <c r="B17" s="37">
        <f t="shared" si="1"/>
        <v>2017</v>
      </c>
      <c r="C17" s="37" t="str">
        <f t="shared" si="2"/>
        <v>Income: 1</v>
      </c>
      <c r="D17" s="41">
        <v>42797</v>
      </c>
      <c r="E17" s="1" t="s">
        <v>51</v>
      </c>
      <c r="F17" s="36">
        <v>1395</v>
      </c>
      <c r="G17" s="36"/>
      <c r="H17" s="38">
        <f t="shared" si="3"/>
        <v>0</v>
      </c>
      <c r="I17" s="120"/>
      <c r="J17" s="120"/>
      <c r="K17" s="120"/>
      <c r="L17" s="102"/>
    </row>
    <row r="18" spans="1:14" ht="12.75" customHeight="1" x14ac:dyDescent="0.25">
      <c r="A18" s="42">
        <f t="shared" si="0"/>
        <v>4</v>
      </c>
      <c r="B18" s="42">
        <f t="shared" si="1"/>
        <v>2017</v>
      </c>
      <c r="C18" s="42" t="str">
        <f t="shared" si="2"/>
        <v>Rent: 1</v>
      </c>
      <c r="D18" s="43" t="str">
        <f>MONTH(D16)+1 &amp; "/1/" &amp; YEAR(D16)</f>
        <v>4/1/2017</v>
      </c>
      <c r="E18" s="44" t="str">
        <f>"Rent: "&amp;LOOKUP(A18-1, Months, TextMonths)&amp;" '"&amp;B18</f>
        <v>Rent: Apr '2017</v>
      </c>
      <c r="F18" s="45"/>
      <c r="G18" s="45">
        <v>1395</v>
      </c>
      <c r="H18" s="74">
        <f t="shared" si="3"/>
        <v>1395</v>
      </c>
      <c r="I18" s="102"/>
      <c r="J18" s="102"/>
      <c r="K18" s="102"/>
      <c r="L18" s="102"/>
    </row>
    <row r="19" spans="1:14" ht="12.75" customHeight="1" x14ac:dyDescent="0.35">
      <c r="A19" s="37">
        <f t="shared" si="0"/>
        <v>4</v>
      </c>
      <c r="B19" s="37">
        <f t="shared" si="1"/>
        <v>2017</v>
      </c>
      <c r="C19" s="37" t="str">
        <f t="shared" si="2"/>
        <v>Income: 1</v>
      </c>
      <c r="D19" s="41">
        <v>42828</v>
      </c>
      <c r="E19" s="1" t="s">
        <v>51</v>
      </c>
      <c r="F19" s="36">
        <v>1395</v>
      </c>
      <c r="G19" s="36"/>
      <c r="H19" s="38">
        <f t="shared" si="3"/>
        <v>0</v>
      </c>
      <c r="I19" s="103"/>
      <c r="J19" s="103"/>
      <c r="K19" s="103"/>
      <c r="L19" s="103"/>
    </row>
    <row r="20" spans="1:14" ht="12.75" customHeight="1" x14ac:dyDescent="0.25">
      <c r="A20" s="37">
        <f t="shared" si="0"/>
        <v>5</v>
      </c>
      <c r="B20" s="37">
        <f t="shared" si="1"/>
        <v>2017</v>
      </c>
      <c r="C20" s="37" t="str">
        <f t="shared" si="2"/>
        <v>Rent: 1</v>
      </c>
      <c r="D20" s="40" t="str">
        <f>MONTH(D19)+1 &amp; "/1/" &amp; YEAR(D19)</f>
        <v>5/1/2017</v>
      </c>
      <c r="E20" s="39" t="str">
        <f>"Rent: "&amp;LOOKUP(A20-1, Months, TextMonths)&amp;" '"&amp;B20</f>
        <v>Rent: May '2017</v>
      </c>
      <c r="F20" s="36"/>
      <c r="G20" s="36">
        <v>1395</v>
      </c>
      <c r="H20" s="38">
        <f t="shared" si="3"/>
        <v>1395</v>
      </c>
      <c r="I20" s="120"/>
      <c r="J20" s="120"/>
      <c r="K20" s="120"/>
      <c r="L20" s="102"/>
      <c r="M20" s="36"/>
      <c r="N20" s="36"/>
    </row>
    <row r="21" spans="1:14" ht="12.75" customHeight="1" x14ac:dyDescent="0.35">
      <c r="A21" s="37">
        <f t="shared" si="0"/>
        <v>5</v>
      </c>
      <c r="B21" s="37">
        <f t="shared" si="1"/>
        <v>2017</v>
      </c>
      <c r="C21" s="37" t="str">
        <f t="shared" si="2"/>
        <v>Income: 1</v>
      </c>
      <c r="D21" s="41">
        <v>42856</v>
      </c>
      <c r="E21" s="1" t="s">
        <v>51</v>
      </c>
      <c r="F21" s="36">
        <v>1395</v>
      </c>
      <c r="G21" s="36"/>
      <c r="H21" s="38">
        <f t="shared" si="3"/>
        <v>0</v>
      </c>
      <c r="I21" s="102"/>
      <c r="J21" s="102"/>
      <c r="K21" s="103"/>
      <c r="L21" s="103"/>
    </row>
    <row r="22" spans="1:14" ht="12.75" customHeight="1" x14ac:dyDescent="0.25">
      <c r="A22" s="37">
        <f t="shared" si="0"/>
        <v>6</v>
      </c>
      <c r="B22" s="37">
        <f t="shared" si="1"/>
        <v>2017</v>
      </c>
      <c r="C22" s="37" t="str">
        <f t="shared" si="2"/>
        <v>Rent: 1</v>
      </c>
      <c r="D22" s="40" t="str">
        <f>MONTH(D21)+1 &amp; "/1/" &amp; YEAR(D21)</f>
        <v>6/1/2017</v>
      </c>
      <c r="E22" s="39" t="str">
        <f>"Rent: "&amp;LOOKUP(A22-1, Months, TextMonths)&amp;" '"&amp;B22</f>
        <v>Rent: Jun '2017</v>
      </c>
      <c r="F22" s="36"/>
      <c r="G22" s="36">
        <v>1395</v>
      </c>
      <c r="H22" s="38">
        <f t="shared" si="3"/>
        <v>1395</v>
      </c>
      <c r="I22" s="103"/>
      <c r="J22" s="103"/>
      <c r="K22" s="120"/>
      <c r="L22" s="102"/>
      <c r="M22" s="36"/>
      <c r="N22" s="36"/>
    </row>
    <row r="23" spans="1:14" ht="12.75" customHeight="1" thickBot="1" x14ac:dyDescent="0.4">
      <c r="A23" s="47">
        <f t="shared" si="0"/>
        <v>6</v>
      </c>
      <c r="B23" s="47">
        <f t="shared" si="1"/>
        <v>2017</v>
      </c>
      <c r="C23" s="47" t="str">
        <f t="shared" si="2"/>
        <v>Income: 1</v>
      </c>
      <c r="D23" s="79">
        <v>42888</v>
      </c>
      <c r="E23" s="76" t="s">
        <v>51</v>
      </c>
      <c r="F23" s="50">
        <v>1395</v>
      </c>
      <c r="G23" s="50"/>
      <c r="H23" s="77">
        <f t="shared" si="3"/>
        <v>0</v>
      </c>
      <c r="I23" s="103"/>
      <c r="J23" s="103"/>
      <c r="K23" s="103"/>
      <c r="L23" s="103"/>
    </row>
    <row r="24" spans="1:14" ht="12.75" customHeight="1" x14ac:dyDescent="0.25">
      <c r="A24" s="42">
        <f t="shared" si="0"/>
        <v>7</v>
      </c>
      <c r="B24" s="42">
        <f t="shared" si="1"/>
        <v>2017</v>
      </c>
      <c r="C24" s="42" t="str">
        <f t="shared" si="2"/>
        <v>Rent: 1</v>
      </c>
      <c r="D24" s="43" t="str">
        <f>MONTH(D23)+1 &amp; "/1/" &amp; YEAR(D23)</f>
        <v>7/1/2017</v>
      </c>
      <c r="E24" s="44" t="str">
        <f>"Rent: "&amp;LOOKUP(A24-1, Months, TextMonths)&amp;" '"&amp;B24</f>
        <v>Rent: Jul '2017</v>
      </c>
      <c r="F24" s="45"/>
      <c r="G24" s="45">
        <v>1395</v>
      </c>
      <c r="H24" s="74">
        <f t="shared" si="3"/>
        <v>1395</v>
      </c>
      <c r="I24" s="102"/>
      <c r="J24" s="102"/>
      <c r="K24" s="102"/>
      <c r="L24" s="102"/>
      <c r="M24" s="36"/>
      <c r="N24" s="36"/>
    </row>
    <row r="25" spans="1:14" ht="12.75" customHeight="1" x14ac:dyDescent="0.35">
      <c r="A25" s="37">
        <f t="shared" si="0"/>
        <v>7</v>
      </c>
      <c r="B25" s="37">
        <f t="shared" si="1"/>
        <v>2017</v>
      </c>
      <c r="C25" s="37" t="str">
        <f t="shared" si="2"/>
        <v>Income: 1</v>
      </c>
      <c r="D25" s="41">
        <v>42921</v>
      </c>
      <c r="E25" s="1" t="s">
        <v>51</v>
      </c>
      <c r="F25" s="36">
        <v>1395</v>
      </c>
      <c r="G25" s="36"/>
      <c r="H25" s="38">
        <f t="shared" si="3"/>
        <v>0</v>
      </c>
      <c r="I25" s="103"/>
      <c r="J25" s="103"/>
      <c r="K25" s="103"/>
      <c r="L25" s="103"/>
    </row>
    <row r="26" spans="1:14" ht="12.75" customHeight="1" x14ac:dyDescent="0.25">
      <c r="A26" s="37">
        <f t="shared" si="0"/>
        <v>8</v>
      </c>
      <c r="B26" s="37">
        <f t="shared" si="1"/>
        <v>2017</v>
      </c>
      <c r="C26" s="37" t="str">
        <f t="shared" si="2"/>
        <v>Rent: 1</v>
      </c>
      <c r="D26" s="40" t="str">
        <f>MONTH(D25)+1 &amp; "/1/" &amp; YEAR(D25)</f>
        <v>8/1/2017</v>
      </c>
      <c r="E26" s="39" t="str">
        <f>"Rent: "&amp;LOOKUP(A26-1, Months, TextMonths)&amp;" '"&amp;B26</f>
        <v>Rent: Aug '2017</v>
      </c>
      <c r="F26" s="36"/>
      <c r="G26" s="36">
        <v>1395</v>
      </c>
      <c r="H26" s="38">
        <f t="shared" si="3"/>
        <v>1395</v>
      </c>
      <c r="I26" s="120"/>
      <c r="J26" s="120"/>
      <c r="K26" s="120"/>
      <c r="L26" s="102"/>
      <c r="M26" s="36"/>
      <c r="N26" s="36"/>
    </row>
    <row r="27" spans="1:14" ht="12.75" customHeight="1" x14ac:dyDescent="0.35">
      <c r="A27" s="37">
        <f t="shared" si="0"/>
        <v>8</v>
      </c>
      <c r="B27" s="37">
        <f t="shared" si="1"/>
        <v>2017</v>
      </c>
      <c r="C27" s="37" t="str">
        <f t="shared" si="2"/>
        <v>Income: 1</v>
      </c>
      <c r="D27" s="41">
        <v>42950</v>
      </c>
      <c r="E27" s="1" t="s">
        <v>51</v>
      </c>
      <c r="F27" s="36">
        <v>1395</v>
      </c>
      <c r="G27" s="36"/>
      <c r="H27" s="38">
        <f t="shared" si="3"/>
        <v>0</v>
      </c>
      <c r="I27" s="120"/>
      <c r="J27" s="120"/>
      <c r="K27" s="103"/>
      <c r="L27" s="103"/>
    </row>
    <row r="28" spans="1:14" ht="12.75" customHeight="1" x14ac:dyDescent="0.25">
      <c r="A28" s="37">
        <f t="shared" si="0"/>
        <v>9</v>
      </c>
      <c r="B28" s="37">
        <f t="shared" si="1"/>
        <v>2017</v>
      </c>
      <c r="C28" s="37" t="str">
        <f t="shared" si="2"/>
        <v>Rent: 1</v>
      </c>
      <c r="D28" s="40" t="str">
        <f>MONTH(D27)+1 &amp; "/1/" &amp; YEAR(D27)</f>
        <v>9/1/2017</v>
      </c>
      <c r="E28" s="39" t="str">
        <f>"Rent: "&amp;LOOKUP(A28-1, Months, TextMonths)&amp;" '"&amp;B28</f>
        <v>Rent: Sep '2017</v>
      </c>
      <c r="F28" s="36"/>
      <c r="G28" s="36">
        <v>1370.33</v>
      </c>
      <c r="H28" s="38">
        <f t="shared" si="3"/>
        <v>1370.33</v>
      </c>
      <c r="I28" s="102"/>
      <c r="J28" s="102"/>
      <c r="K28" s="120"/>
      <c r="L28" s="102"/>
    </row>
    <row r="29" spans="1:14" ht="12.75" customHeight="1" x14ac:dyDescent="0.25">
      <c r="A29" s="37">
        <f t="shared" si="0"/>
        <v>9</v>
      </c>
      <c r="B29" s="37">
        <f t="shared" si="1"/>
        <v>2017</v>
      </c>
      <c r="C29" s="37" t="str">
        <f t="shared" si="2"/>
        <v>Priv Tax: 1</v>
      </c>
      <c r="D29" s="40" t="str">
        <f>D28</f>
        <v>9/1/2017</v>
      </c>
      <c r="E29" s="39" t="str">
        <f>"Tax: "&amp;LOOKUP(A29-1, Months, TextMonths)&amp;" '"&amp;B29</f>
        <v>Tax: Sep '2017</v>
      </c>
      <c r="F29" s="36"/>
      <c r="G29" s="36">
        <f>G28*0.018</f>
        <v>24.665939999999996</v>
      </c>
      <c r="H29" s="38">
        <f t="shared" si="3"/>
        <v>1394.99594</v>
      </c>
      <c r="I29" s="103"/>
      <c r="J29" s="103"/>
      <c r="K29" s="120"/>
      <c r="L29" s="102"/>
    </row>
    <row r="30" spans="1:14" ht="12.75" customHeight="1" thickBot="1" x14ac:dyDescent="0.4">
      <c r="A30" s="47">
        <f t="shared" si="0"/>
        <v>9</v>
      </c>
      <c r="B30" s="47">
        <f t="shared" si="1"/>
        <v>2017</v>
      </c>
      <c r="C30" s="47" t="str">
        <f t="shared" si="2"/>
        <v>Income: 1</v>
      </c>
      <c r="D30" s="79">
        <v>42983</v>
      </c>
      <c r="E30" s="76" t="s">
        <v>51</v>
      </c>
      <c r="F30" s="50">
        <v>1395</v>
      </c>
      <c r="G30" s="50"/>
      <c r="H30" s="77">
        <f t="shared" si="3"/>
        <v>-4.0599999999813008E-3</v>
      </c>
      <c r="I30" s="102"/>
      <c r="J30" s="102"/>
      <c r="K30" s="102"/>
      <c r="L30" s="102"/>
    </row>
    <row r="31" spans="1:14" ht="12.75" customHeight="1" x14ac:dyDescent="0.25">
      <c r="A31" s="42">
        <f t="shared" si="0"/>
        <v>10</v>
      </c>
      <c r="B31" s="42">
        <f t="shared" si="1"/>
        <v>2017</v>
      </c>
      <c r="C31" s="42" t="str">
        <f t="shared" si="2"/>
        <v>Rent: 1</v>
      </c>
      <c r="D31" s="43" t="str">
        <f>MONTH(D30)+1 &amp; "/1/" &amp; YEAR(D30)</f>
        <v>10/1/2017</v>
      </c>
      <c r="E31" s="44" t="str">
        <f>"Rent: "&amp;LOOKUP(A31-1, Months, TextMonths)&amp;" '"&amp;B31</f>
        <v>Rent: Oct '2017</v>
      </c>
      <c r="F31" s="45"/>
      <c r="G31" s="45">
        <v>1370.33</v>
      </c>
      <c r="H31" s="74">
        <f t="shared" si="3"/>
        <v>1370.3259399999999</v>
      </c>
      <c r="I31" s="102"/>
      <c r="J31" s="102"/>
      <c r="K31" s="102"/>
      <c r="L31" s="102"/>
    </row>
    <row r="32" spans="1:14" ht="12.75" customHeight="1" x14ac:dyDescent="0.25">
      <c r="A32" s="37">
        <f t="shared" si="0"/>
        <v>10</v>
      </c>
      <c r="B32" s="37">
        <f t="shared" si="1"/>
        <v>2017</v>
      </c>
      <c r="C32" s="37" t="str">
        <f t="shared" si="2"/>
        <v>Priv Tax: 1</v>
      </c>
      <c r="D32" s="40" t="str">
        <f>D31</f>
        <v>10/1/2017</v>
      </c>
      <c r="E32" s="39" t="s">
        <v>64</v>
      </c>
      <c r="F32" s="36"/>
      <c r="G32" s="36">
        <f>G31*0.018</f>
        <v>24.665939999999996</v>
      </c>
      <c r="H32" s="38">
        <f t="shared" si="3"/>
        <v>1394.99188</v>
      </c>
      <c r="I32" s="120"/>
      <c r="J32" s="120"/>
      <c r="K32" s="120"/>
      <c r="L32" s="102"/>
    </row>
    <row r="33" spans="1:12" ht="12.75" customHeight="1" x14ac:dyDescent="0.35">
      <c r="A33" s="37">
        <f t="shared" si="0"/>
        <v>10</v>
      </c>
      <c r="B33" s="37">
        <f t="shared" si="1"/>
        <v>2017</v>
      </c>
      <c r="C33" s="37" t="str">
        <f t="shared" si="2"/>
        <v>Income: 1</v>
      </c>
      <c r="D33" s="41">
        <v>43013</v>
      </c>
      <c r="E33" s="1" t="s">
        <v>51</v>
      </c>
      <c r="F33" s="36">
        <v>1395</v>
      </c>
      <c r="G33" s="36"/>
      <c r="H33" s="38">
        <f t="shared" si="3"/>
        <v>-8.1199999999626016E-3</v>
      </c>
      <c r="I33" s="120"/>
      <c r="J33" s="120"/>
      <c r="K33" s="120"/>
      <c r="L33" s="102"/>
    </row>
    <row r="34" spans="1:12" ht="12.75" customHeight="1" x14ac:dyDescent="0.25">
      <c r="A34" s="37">
        <f t="shared" si="0"/>
        <v>11</v>
      </c>
      <c r="B34" s="37">
        <f t="shared" si="1"/>
        <v>2017</v>
      </c>
      <c r="C34" s="37" t="str">
        <f t="shared" si="2"/>
        <v>Rent: 1</v>
      </c>
      <c r="D34" s="40" t="str">
        <f>MONTH(D33)+1 &amp; "/1/" &amp; YEAR(D33)</f>
        <v>11/1/2017</v>
      </c>
      <c r="E34" s="39" t="str">
        <f>"Rent: "&amp;LOOKUP(A34-1, Months, TextMonths)&amp;" '"&amp;B34</f>
        <v>Rent: Nov '2017</v>
      </c>
      <c r="F34" s="36"/>
      <c r="G34" s="36">
        <v>1370.33</v>
      </c>
      <c r="H34" s="38">
        <f t="shared" si="3"/>
        <v>1370.32188</v>
      </c>
      <c r="I34" s="120"/>
      <c r="J34" s="120"/>
      <c r="K34" s="120"/>
      <c r="L34" s="102"/>
    </row>
    <row r="35" spans="1:12" ht="12.75" customHeight="1" x14ac:dyDescent="0.25">
      <c r="A35" s="37">
        <f t="shared" si="0"/>
        <v>11</v>
      </c>
      <c r="B35" s="37">
        <f t="shared" si="1"/>
        <v>2017</v>
      </c>
      <c r="C35" s="37" t="str">
        <f t="shared" si="2"/>
        <v>Priv Tax: 1</v>
      </c>
      <c r="D35" s="40" t="str">
        <f>D34</f>
        <v>11/1/2017</v>
      </c>
      <c r="E35" s="39" t="s">
        <v>64</v>
      </c>
      <c r="F35" s="36"/>
      <c r="G35" s="36">
        <f>G34*0.018</f>
        <v>24.665939999999996</v>
      </c>
      <c r="H35" s="38">
        <f t="shared" si="3"/>
        <v>1394.9878200000001</v>
      </c>
      <c r="I35" s="120"/>
      <c r="J35" s="120"/>
      <c r="K35" s="120"/>
      <c r="L35" s="102"/>
    </row>
    <row r="36" spans="1:12" ht="12.75" customHeight="1" x14ac:dyDescent="0.35">
      <c r="A36" s="37">
        <f t="shared" si="0"/>
        <v>11</v>
      </c>
      <c r="B36" s="37">
        <f t="shared" si="1"/>
        <v>2017</v>
      </c>
      <c r="C36" s="37" t="str">
        <f t="shared" si="2"/>
        <v>Income: 1</v>
      </c>
      <c r="D36" s="41">
        <v>43042</v>
      </c>
      <c r="E36" s="1" t="s">
        <v>51</v>
      </c>
      <c r="F36" s="36">
        <v>465</v>
      </c>
      <c r="G36" s="36"/>
      <c r="H36" s="38">
        <f t="shared" si="3"/>
        <v>929.98782000000006</v>
      </c>
      <c r="I36" s="102"/>
      <c r="J36" s="157"/>
      <c r="K36" s="103"/>
      <c r="L36" s="103"/>
    </row>
    <row r="37" spans="1:12" ht="12.75" customHeight="1" x14ac:dyDescent="0.35">
      <c r="A37" s="37">
        <f t="shared" si="0"/>
        <v>11</v>
      </c>
      <c r="B37" s="37">
        <f t="shared" si="1"/>
        <v>2017</v>
      </c>
      <c r="C37" s="37" t="str">
        <f t="shared" si="2"/>
        <v>Income: 1</v>
      </c>
      <c r="D37" s="41">
        <v>43042</v>
      </c>
      <c r="E37" s="1" t="s">
        <v>51</v>
      </c>
      <c r="F37" s="36">
        <v>930</v>
      </c>
      <c r="G37" s="36"/>
      <c r="H37" s="38">
        <f t="shared" si="3"/>
        <v>-1.2179999999943902E-2</v>
      </c>
      <c r="I37" s="146"/>
      <c r="J37" s="146"/>
      <c r="K37" s="103"/>
      <c r="L37" s="103"/>
    </row>
    <row r="38" spans="1:12" ht="12.75" customHeight="1" x14ac:dyDescent="0.25">
      <c r="A38" s="37">
        <f t="shared" si="0"/>
        <v>12</v>
      </c>
      <c r="B38" s="37">
        <f t="shared" si="1"/>
        <v>2017</v>
      </c>
      <c r="C38" s="37" t="str">
        <f t="shared" si="2"/>
        <v>Rent: 1</v>
      </c>
      <c r="D38" s="40" t="str">
        <f>MONTH(D37)+1 &amp; "/1/" &amp; YEAR(D37)</f>
        <v>12/1/2017</v>
      </c>
      <c r="E38" s="39" t="str">
        <f>"Rent: "&amp;LOOKUP(A38-1, Months, TextMonths)&amp;" '"&amp;B38</f>
        <v>Rent: Dec '2017</v>
      </c>
      <c r="F38" s="36"/>
      <c r="G38" s="36">
        <v>1370.33</v>
      </c>
      <c r="H38" s="38">
        <f t="shared" si="3"/>
        <v>1370.31782</v>
      </c>
      <c r="I38" s="120"/>
      <c r="J38" s="120"/>
      <c r="K38" s="120"/>
      <c r="L38" s="102"/>
    </row>
    <row r="39" spans="1:12" ht="12.75" customHeight="1" x14ac:dyDescent="0.25">
      <c r="A39" s="37">
        <f t="shared" si="0"/>
        <v>12</v>
      </c>
      <c r="B39" s="37">
        <f t="shared" si="1"/>
        <v>2017</v>
      </c>
      <c r="C39" s="37" t="str">
        <f t="shared" si="2"/>
        <v>Priv Tax: 1</v>
      </c>
      <c r="D39" s="40" t="str">
        <f>D38</f>
        <v>12/1/2017</v>
      </c>
      <c r="E39" s="39" t="s">
        <v>64</v>
      </c>
      <c r="F39" s="36"/>
      <c r="G39" s="36">
        <f>G38*0.018</f>
        <v>24.665939999999996</v>
      </c>
      <c r="H39" s="38">
        <f t="shared" si="3"/>
        <v>1394.9837600000001</v>
      </c>
      <c r="I39" s="102"/>
      <c r="J39" s="102"/>
      <c r="K39" s="120"/>
      <c r="L39" s="102"/>
    </row>
    <row r="40" spans="1:12" ht="12.75" customHeight="1" x14ac:dyDescent="0.35">
      <c r="A40" s="37">
        <f t="shared" si="0"/>
        <v>12</v>
      </c>
      <c r="B40" s="37">
        <f t="shared" si="1"/>
        <v>2017</v>
      </c>
      <c r="C40" s="37" t="str">
        <f t="shared" si="2"/>
        <v>Income: 1</v>
      </c>
      <c r="D40" s="41">
        <v>43070</v>
      </c>
      <c r="E40" s="1" t="s">
        <v>51</v>
      </c>
      <c r="F40" s="36">
        <v>465</v>
      </c>
      <c r="G40" s="36"/>
      <c r="H40" s="38">
        <f t="shared" si="3"/>
        <v>929.98376000000007</v>
      </c>
      <c r="I40" s="103"/>
      <c r="J40" s="103"/>
      <c r="K40" s="103"/>
      <c r="L40" s="103"/>
    </row>
    <row r="41" spans="1:12" ht="12.75" customHeight="1" thickBot="1" x14ac:dyDescent="0.4">
      <c r="A41" s="47">
        <f t="shared" si="0"/>
        <v>12</v>
      </c>
      <c r="B41" s="47">
        <f t="shared" si="1"/>
        <v>2017</v>
      </c>
      <c r="C41" s="47" t="str">
        <f t="shared" si="2"/>
        <v>Income: 1</v>
      </c>
      <c r="D41" s="79">
        <v>43073</v>
      </c>
      <c r="E41" s="76" t="s">
        <v>51</v>
      </c>
      <c r="F41" s="50">
        <v>930</v>
      </c>
      <c r="G41" s="50"/>
      <c r="H41" s="77">
        <f t="shared" si="3"/>
        <v>-1.6239999999925203E-2</v>
      </c>
      <c r="I41" s="102"/>
      <c r="J41" s="102"/>
      <c r="K41" s="103"/>
      <c r="L41" s="103"/>
    </row>
    <row r="42" spans="1:12" ht="12.75" customHeight="1" x14ac:dyDescent="0.25">
      <c r="A42" s="42">
        <f t="shared" si="0"/>
        <v>1</v>
      </c>
      <c r="B42" s="42">
        <f t="shared" si="1"/>
        <v>2018</v>
      </c>
      <c r="C42" s="42" t="str">
        <f t="shared" si="2"/>
        <v>Rent: 1</v>
      </c>
      <c r="D42" s="43" t="str">
        <f>"1" &amp; "/1/" &amp; YEAR(D41)+1</f>
        <v>1/1/2018</v>
      </c>
      <c r="E42" s="44" t="str">
        <f>"Rent: "&amp;LOOKUP(A42-1, Months, TextMonths)&amp;" '"&amp;B42</f>
        <v>Rent: Jan '2018</v>
      </c>
      <c r="F42" s="45"/>
      <c r="G42" s="45">
        <v>1370.33</v>
      </c>
      <c r="H42" s="74">
        <f t="shared" si="3"/>
        <v>1370.31376</v>
      </c>
      <c r="I42" s="102"/>
      <c r="J42" s="102"/>
      <c r="K42" s="102"/>
      <c r="L42" s="102"/>
    </row>
    <row r="43" spans="1:12" ht="12.75" customHeight="1" x14ac:dyDescent="0.25">
      <c r="A43" s="37">
        <f t="shared" si="0"/>
        <v>1</v>
      </c>
      <c r="B43" s="37">
        <f t="shared" si="1"/>
        <v>2018</v>
      </c>
      <c r="C43" s="37" t="str">
        <f t="shared" si="2"/>
        <v>Priv Tax: 1</v>
      </c>
      <c r="D43" s="40" t="str">
        <f>D42</f>
        <v>1/1/2018</v>
      </c>
      <c r="E43" s="39" t="s">
        <v>64</v>
      </c>
      <c r="F43" s="36"/>
      <c r="G43" s="36">
        <f>G42*0.018</f>
        <v>24.665939999999996</v>
      </c>
      <c r="H43" s="38">
        <f t="shared" si="3"/>
        <v>1394.9797000000001</v>
      </c>
      <c r="I43" s="120"/>
      <c r="J43" s="120"/>
      <c r="K43" s="102"/>
      <c r="L43" s="102"/>
    </row>
    <row r="44" spans="1:12" ht="12.75" customHeight="1" x14ac:dyDescent="0.35">
      <c r="A44" s="37">
        <f t="shared" si="0"/>
        <v>12</v>
      </c>
      <c r="B44" s="37">
        <f t="shared" si="1"/>
        <v>2017</v>
      </c>
      <c r="C44" s="37" t="str">
        <f t="shared" si="2"/>
        <v/>
      </c>
      <c r="D44" s="41">
        <v>43070</v>
      </c>
      <c r="E44" s="1" t="s">
        <v>74</v>
      </c>
      <c r="F44" s="36">
        <v>94.98</v>
      </c>
      <c r="G44" s="36"/>
      <c r="H44" s="38">
        <f t="shared" si="3"/>
        <v>1299.9997000000001</v>
      </c>
      <c r="I44" s="120"/>
      <c r="J44" s="120"/>
      <c r="K44" s="102"/>
      <c r="L44" s="102"/>
    </row>
    <row r="45" spans="1:12" ht="12.75" customHeight="1" x14ac:dyDescent="0.35">
      <c r="A45" s="37">
        <f t="shared" si="0"/>
        <v>1</v>
      </c>
      <c r="B45" s="37">
        <f t="shared" si="1"/>
        <v>2018</v>
      </c>
      <c r="C45" s="37" t="str">
        <f t="shared" si="2"/>
        <v>Income: 1</v>
      </c>
      <c r="D45" s="41">
        <v>43102</v>
      </c>
      <c r="E45" s="1" t="s">
        <v>51</v>
      </c>
      <c r="F45" s="36">
        <v>1300</v>
      </c>
      <c r="G45" s="36"/>
      <c r="H45" s="38">
        <f t="shared" si="3"/>
        <v>-2.9999999992469384E-4</v>
      </c>
      <c r="I45" s="120"/>
      <c r="J45" s="120"/>
      <c r="K45" s="103"/>
      <c r="L45" s="103"/>
    </row>
    <row r="46" spans="1:12" ht="12.75" customHeight="1" x14ac:dyDescent="0.25">
      <c r="A46" s="37">
        <f t="shared" si="0"/>
        <v>2</v>
      </c>
      <c r="B46" s="37">
        <f t="shared" si="1"/>
        <v>2018</v>
      </c>
      <c r="C46" s="37" t="str">
        <f t="shared" si="2"/>
        <v>Rent: 1</v>
      </c>
      <c r="D46" s="40" t="str">
        <f>MONTH(D45)+1 &amp; "/1/" &amp; YEAR(D45)</f>
        <v>2/1/2018</v>
      </c>
      <c r="E46" s="39" t="str">
        <f>"Rent: "&amp;LOOKUP(A46-1, Months, TextMonths)&amp;" '"&amp;B46</f>
        <v>Rent: Feb '2018</v>
      </c>
      <c r="F46" s="36"/>
      <c r="G46" s="36">
        <v>1370.33</v>
      </c>
      <c r="H46" s="38">
        <f t="shared" si="3"/>
        <v>1370.3297</v>
      </c>
      <c r="I46" s="120"/>
      <c r="J46" s="120"/>
      <c r="K46" s="102"/>
      <c r="L46" s="102"/>
    </row>
    <row r="47" spans="1:12" ht="12.75" customHeight="1" x14ac:dyDescent="0.25">
      <c r="A47" s="37">
        <f t="shared" si="0"/>
        <v>2</v>
      </c>
      <c r="B47" s="37">
        <f t="shared" si="1"/>
        <v>2018</v>
      </c>
      <c r="C47" s="37" t="str">
        <f t="shared" si="2"/>
        <v>Priv Tax: 1</v>
      </c>
      <c r="D47" s="40" t="str">
        <f>D46</f>
        <v>2/1/2018</v>
      </c>
      <c r="E47" s="39" t="s">
        <v>64</v>
      </c>
      <c r="F47" s="36"/>
      <c r="G47" s="36">
        <f>G46*0.018</f>
        <v>24.665939999999996</v>
      </c>
      <c r="H47" s="38">
        <f t="shared" si="3"/>
        <v>1394.9956400000001</v>
      </c>
      <c r="I47" s="120"/>
      <c r="J47" s="120"/>
      <c r="K47" s="102"/>
      <c r="L47" s="102"/>
    </row>
    <row r="48" spans="1:12" ht="12.75" customHeight="1" x14ac:dyDescent="0.35">
      <c r="A48" s="37">
        <f t="shared" si="0"/>
        <v>2</v>
      </c>
      <c r="B48" s="37">
        <f t="shared" si="1"/>
        <v>2018</v>
      </c>
      <c r="C48" s="37" t="str">
        <f t="shared" si="2"/>
        <v>Income: 1</v>
      </c>
      <c r="D48" s="41">
        <v>43133</v>
      </c>
      <c r="E48" s="1" t="s">
        <v>51</v>
      </c>
      <c r="F48" s="36">
        <v>1395</v>
      </c>
      <c r="G48" s="36"/>
      <c r="H48" s="38">
        <f t="shared" si="3"/>
        <v>-4.3599999999059946E-3</v>
      </c>
      <c r="I48" s="120"/>
      <c r="J48" s="120"/>
      <c r="K48" s="103"/>
      <c r="L48" s="103"/>
    </row>
    <row r="49" spans="1:13" ht="12.75" customHeight="1" x14ac:dyDescent="0.25">
      <c r="A49" s="37">
        <f t="shared" si="0"/>
        <v>3</v>
      </c>
      <c r="B49" s="37">
        <f t="shared" si="1"/>
        <v>2018</v>
      </c>
      <c r="C49" s="37" t="str">
        <f t="shared" si="2"/>
        <v>Rent: 1</v>
      </c>
      <c r="D49" s="40" t="str">
        <f>MONTH(D48)+1 &amp; "/1/" &amp; YEAR(D48)</f>
        <v>3/1/2018</v>
      </c>
      <c r="E49" s="39" t="str">
        <f>"Rent: "&amp;LOOKUP(A49-1, Months, TextMonths)&amp;" '"&amp;B49</f>
        <v>Rent: Mar '2018</v>
      </c>
      <c r="F49" s="36"/>
      <c r="G49" s="36">
        <v>1370.33</v>
      </c>
      <c r="H49" s="38">
        <f t="shared" si="3"/>
        <v>1370.32564</v>
      </c>
      <c r="I49" s="102"/>
      <c r="J49" s="102"/>
      <c r="K49" s="102"/>
      <c r="L49" s="102"/>
    </row>
    <row r="50" spans="1:13" ht="12.75" customHeight="1" x14ac:dyDescent="0.25">
      <c r="A50" s="37">
        <f t="shared" si="0"/>
        <v>3</v>
      </c>
      <c r="B50" s="37">
        <f t="shared" si="1"/>
        <v>2018</v>
      </c>
      <c r="C50" s="37" t="str">
        <f t="shared" si="2"/>
        <v>Priv Tax: 1</v>
      </c>
      <c r="D50" s="40" t="str">
        <f>D49</f>
        <v>3/1/2018</v>
      </c>
      <c r="E50" s="39" t="s">
        <v>64</v>
      </c>
      <c r="F50" s="36"/>
      <c r="G50" s="36">
        <f>G49*0.018</f>
        <v>24.665939999999996</v>
      </c>
      <c r="H50" s="38">
        <f t="shared" si="3"/>
        <v>1394.9915800000001</v>
      </c>
      <c r="I50" s="103"/>
      <c r="J50" s="103"/>
      <c r="K50" s="102"/>
      <c r="L50" s="102"/>
    </row>
    <row r="51" spans="1:13" ht="12.75" customHeight="1" thickBot="1" x14ac:dyDescent="0.4">
      <c r="A51" s="47">
        <f t="shared" si="0"/>
        <v>3</v>
      </c>
      <c r="B51" s="47">
        <f t="shared" si="1"/>
        <v>2018</v>
      </c>
      <c r="C51" s="47" t="str">
        <f t="shared" si="2"/>
        <v>Income: 1</v>
      </c>
      <c r="D51" s="79">
        <v>43164</v>
      </c>
      <c r="E51" s="76" t="s">
        <v>51</v>
      </c>
      <c r="F51" s="50">
        <v>1395</v>
      </c>
      <c r="G51" s="50"/>
      <c r="H51" s="77">
        <f t="shared" si="3"/>
        <v>-8.4199999998872954E-3</v>
      </c>
      <c r="I51" s="102"/>
      <c r="J51" s="102"/>
      <c r="K51" s="103"/>
      <c r="L51" s="103"/>
    </row>
    <row r="52" spans="1:13" ht="12.75" customHeight="1" x14ac:dyDescent="0.25">
      <c r="A52" s="42">
        <f t="shared" si="0"/>
        <v>4</v>
      </c>
      <c r="B52" s="42">
        <f t="shared" si="1"/>
        <v>2018</v>
      </c>
      <c r="C52" s="42" t="str">
        <f t="shared" si="2"/>
        <v>Rent: 1</v>
      </c>
      <c r="D52" s="43" t="str">
        <f>MONTH(D51)+1 &amp; "/1/" &amp; YEAR(D51)</f>
        <v>4/1/2018</v>
      </c>
      <c r="E52" s="44" t="str">
        <f>"Rent: "&amp;LOOKUP(A52-1, Months, TextMonths)&amp;" '"&amp;B52</f>
        <v>Rent: Apr '2018</v>
      </c>
      <c r="F52" s="45"/>
      <c r="G52" s="45">
        <f>1395/1.018</f>
        <v>1370.3339882121807</v>
      </c>
      <c r="H52" s="74">
        <f t="shared" si="3"/>
        <v>1370.3255682121808</v>
      </c>
      <c r="I52" s="102"/>
      <c r="J52" s="102"/>
      <c r="K52" s="102"/>
      <c r="L52" s="120"/>
    </row>
    <row r="53" spans="1:13" ht="12.75" customHeight="1" x14ac:dyDescent="0.25">
      <c r="A53" s="37">
        <f t="shared" si="0"/>
        <v>4</v>
      </c>
      <c r="B53" s="37">
        <f t="shared" si="1"/>
        <v>2018</v>
      </c>
      <c r="C53" s="37" t="str">
        <f t="shared" si="2"/>
        <v>Priv Tax: 1</v>
      </c>
      <c r="D53" s="40" t="str">
        <f>D52</f>
        <v>4/1/2018</v>
      </c>
      <c r="E53" s="39" t="s">
        <v>64</v>
      </c>
      <c r="F53" s="36"/>
      <c r="G53" s="36">
        <f>G52*0.018</f>
        <v>24.666011787819251</v>
      </c>
      <c r="H53" s="38">
        <f t="shared" si="3"/>
        <v>1394.9915800000001</v>
      </c>
      <c r="I53" s="120"/>
      <c r="J53" s="120"/>
      <c r="K53" s="102"/>
      <c r="L53" s="120"/>
    </row>
    <row r="54" spans="1:13" ht="12.75" customHeight="1" x14ac:dyDescent="0.35">
      <c r="A54" s="37">
        <f t="shared" si="0"/>
        <v>4</v>
      </c>
      <c r="B54" s="37">
        <f t="shared" si="1"/>
        <v>2018</v>
      </c>
      <c r="C54" s="37" t="str">
        <f t="shared" si="2"/>
        <v>Income: 1</v>
      </c>
      <c r="D54" s="41">
        <v>43196</v>
      </c>
      <c r="E54" s="1" t="s">
        <v>51</v>
      </c>
      <c r="F54" s="36">
        <v>1395</v>
      </c>
      <c r="G54" s="36"/>
      <c r="H54" s="38">
        <f t="shared" si="3"/>
        <v>-8.4199999998872954E-3</v>
      </c>
      <c r="I54" s="120"/>
      <c r="J54" s="120"/>
      <c r="K54" s="103"/>
      <c r="L54" s="103"/>
    </row>
    <row r="55" spans="1:13" ht="12.75" customHeight="1" x14ac:dyDescent="0.25">
      <c r="A55" s="37">
        <f t="shared" si="0"/>
        <v>5</v>
      </c>
      <c r="B55" s="37">
        <f t="shared" si="1"/>
        <v>2018</v>
      </c>
      <c r="C55" s="37" t="str">
        <f t="shared" si="2"/>
        <v>Rent: 1</v>
      </c>
      <c r="D55" s="40" t="str">
        <f>MONTH(D54)+1 &amp; "/1/" &amp; YEAR(D54)</f>
        <v>5/1/2018</v>
      </c>
      <c r="E55" s="39" t="str">
        <f>"Rent: "&amp;LOOKUP(A55-1, Months, TextMonths)&amp;" '"&amp;B55</f>
        <v>Rent: May '2018</v>
      </c>
      <c r="F55" s="36"/>
      <c r="G55" s="36">
        <v>1370.33</v>
      </c>
      <c r="H55" s="38">
        <f t="shared" si="3"/>
        <v>1370.32158</v>
      </c>
      <c r="I55" s="120"/>
      <c r="J55" s="120"/>
      <c r="K55" s="102"/>
      <c r="L55" s="120"/>
    </row>
    <row r="56" spans="1:13" ht="12.75" customHeight="1" x14ac:dyDescent="0.25">
      <c r="A56" s="37">
        <f t="shared" si="0"/>
        <v>5</v>
      </c>
      <c r="B56" s="37">
        <f t="shared" si="1"/>
        <v>2018</v>
      </c>
      <c r="C56" s="37" t="str">
        <f t="shared" si="2"/>
        <v>Priv Tax: 1</v>
      </c>
      <c r="D56" s="40" t="str">
        <f>D55</f>
        <v>5/1/2018</v>
      </c>
      <c r="E56" s="39" t="s">
        <v>64</v>
      </c>
      <c r="F56" s="36"/>
      <c r="G56" s="36">
        <f>G55*0.018</f>
        <v>24.665939999999996</v>
      </c>
      <c r="H56" s="38">
        <f t="shared" si="3"/>
        <v>1394.9875200000001</v>
      </c>
      <c r="I56" s="120"/>
      <c r="J56" s="120"/>
      <c r="K56" s="102"/>
      <c r="L56" s="120"/>
    </row>
    <row r="57" spans="1:13" ht="12.75" customHeight="1" x14ac:dyDescent="0.35">
      <c r="A57" s="37">
        <f t="shared" si="0"/>
        <v>5</v>
      </c>
      <c r="B57" s="37">
        <f t="shared" si="1"/>
        <v>2018</v>
      </c>
      <c r="C57" s="37" t="str">
        <f t="shared" si="2"/>
        <v>Income: 1</v>
      </c>
      <c r="D57" s="41">
        <v>43224</v>
      </c>
      <c r="E57" s="1" t="s">
        <v>51</v>
      </c>
      <c r="F57" s="36">
        <v>1395</v>
      </c>
      <c r="G57" s="36"/>
      <c r="H57" s="38">
        <f t="shared" si="3"/>
        <v>-1.2479999999868596E-2</v>
      </c>
      <c r="I57" s="102"/>
      <c r="J57" s="102"/>
      <c r="K57" s="103"/>
      <c r="L57" s="103"/>
    </row>
    <row r="58" spans="1:13" ht="12.75" customHeight="1" x14ac:dyDescent="0.25">
      <c r="A58" s="37">
        <f t="shared" si="0"/>
        <v>6</v>
      </c>
      <c r="B58" s="37">
        <f t="shared" si="1"/>
        <v>2018</v>
      </c>
      <c r="C58" s="37" t="str">
        <f t="shared" si="2"/>
        <v>Rent: 1</v>
      </c>
      <c r="D58" s="40" t="str">
        <f>MONTH(D57)+1 &amp; "/1/" &amp; YEAR(D57)</f>
        <v>6/1/2018</v>
      </c>
      <c r="E58" s="39" t="str">
        <f>"Rent: "&amp;LOOKUP(A58-1, Months, TextMonths)&amp;" '"&amp;B58</f>
        <v>Rent: Jun '2018</v>
      </c>
      <c r="F58" s="36"/>
      <c r="G58" s="36">
        <v>1370.33</v>
      </c>
      <c r="H58" s="38">
        <f t="shared" si="3"/>
        <v>1370.3175200000001</v>
      </c>
      <c r="I58" s="103"/>
      <c r="J58" s="103"/>
      <c r="K58" s="102"/>
      <c r="L58" s="120"/>
      <c r="M58" s="30"/>
    </row>
    <row r="59" spans="1:13" ht="12.75" customHeight="1" x14ac:dyDescent="0.25">
      <c r="A59" s="37">
        <f t="shared" si="0"/>
        <v>6</v>
      </c>
      <c r="B59" s="37">
        <f t="shared" si="1"/>
        <v>2018</v>
      </c>
      <c r="C59" s="37" t="str">
        <f t="shared" si="2"/>
        <v>Priv Tax: 1</v>
      </c>
      <c r="D59" s="40" t="str">
        <f>D58</f>
        <v>6/1/2018</v>
      </c>
      <c r="E59" s="39" t="s">
        <v>64</v>
      </c>
      <c r="F59" s="36"/>
      <c r="G59" s="36">
        <f>G58*0.018</f>
        <v>24.665939999999996</v>
      </c>
      <c r="H59" s="38">
        <f t="shared" si="3"/>
        <v>1394.9834600000002</v>
      </c>
      <c r="I59" s="120"/>
      <c r="J59" s="102"/>
      <c r="K59" s="102"/>
      <c r="L59" s="120"/>
    </row>
    <row r="60" spans="1:13" ht="12.75" customHeight="1" thickBot="1" x14ac:dyDescent="0.4">
      <c r="A60" s="37">
        <f t="shared" si="0"/>
        <v>6</v>
      </c>
      <c r="B60" s="37">
        <f t="shared" si="1"/>
        <v>2018</v>
      </c>
      <c r="C60" s="37" t="str">
        <f t="shared" si="2"/>
        <v>Income: 1</v>
      </c>
      <c r="D60" s="41">
        <v>43252</v>
      </c>
      <c r="E60" s="1" t="s">
        <v>51</v>
      </c>
      <c r="F60" s="36">
        <v>1395</v>
      </c>
      <c r="G60" s="36"/>
      <c r="H60" s="38">
        <f t="shared" si="3"/>
        <v>-1.6539999999849897E-2</v>
      </c>
      <c r="I60" s="120"/>
      <c r="J60" s="120"/>
      <c r="K60" s="103"/>
      <c r="L60" s="103"/>
    </row>
    <row r="61" spans="1:13" ht="12.75" customHeight="1" x14ac:dyDescent="0.25">
      <c r="A61" s="80">
        <f t="shared" si="0"/>
        <v>7</v>
      </c>
      <c r="B61" s="42">
        <f t="shared" si="1"/>
        <v>2018</v>
      </c>
      <c r="C61" s="42" t="str">
        <f t="shared" si="2"/>
        <v>Rent: 1</v>
      </c>
      <c r="D61" s="43" t="str">
        <f>MONTH(D60)+1 &amp; "/1/" &amp; YEAR(D60)</f>
        <v>7/1/2018</v>
      </c>
      <c r="E61" s="44" t="str">
        <f>"Rent: "&amp;LOOKUP(A61-1, Months, TextMonths)&amp;" '"&amp;B61</f>
        <v>Rent: Jul '2018</v>
      </c>
      <c r="F61" s="45"/>
      <c r="G61" s="45">
        <v>1370.33</v>
      </c>
      <c r="H61" s="74">
        <f t="shared" si="3"/>
        <v>1370.3134600000001</v>
      </c>
      <c r="I61" s="102"/>
      <c r="J61" s="102"/>
      <c r="K61" s="102"/>
      <c r="L61" s="102"/>
    </row>
    <row r="62" spans="1:13" ht="12.75" customHeight="1" x14ac:dyDescent="0.25">
      <c r="A62" s="81">
        <f t="shared" si="0"/>
        <v>7</v>
      </c>
      <c r="B62" s="37">
        <f t="shared" si="1"/>
        <v>2018</v>
      </c>
      <c r="C62" s="37" t="str">
        <f t="shared" si="2"/>
        <v>Priv Tax: 1</v>
      </c>
      <c r="D62" s="40" t="str">
        <f>D61</f>
        <v>7/1/2018</v>
      </c>
      <c r="E62" s="39" t="s">
        <v>64</v>
      </c>
      <c r="F62" s="36"/>
      <c r="G62" s="36">
        <f>G61*0.018</f>
        <v>24.665939999999996</v>
      </c>
      <c r="H62" s="38">
        <f t="shared" si="3"/>
        <v>1394.9794000000002</v>
      </c>
      <c r="I62" s="120"/>
      <c r="J62" s="120"/>
      <c r="K62" s="120"/>
      <c r="L62" s="102"/>
    </row>
    <row r="63" spans="1:13" ht="12.75" customHeight="1" x14ac:dyDescent="0.35">
      <c r="A63" s="81">
        <f t="shared" si="0"/>
        <v>6</v>
      </c>
      <c r="B63" s="37">
        <f t="shared" si="1"/>
        <v>2018</v>
      </c>
      <c r="C63" s="37" t="str">
        <f t="shared" si="2"/>
        <v>Income: 1</v>
      </c>
      <c r="D63" s="41">
        <v>43280</v>
      </c>
      <c r="E63" s="1" t="s">
        <v>51</v>
      </c>
      <c r="F63" s="36">
        <v>1395</v>
      </c>
      <c r="G63" s="36"/>
      <c r="H63" s="38">
        <f t="shared" si="3"/>
        <v>-2.0599999999831198E-2</v>
      </c>
      <c r="I63" s="120"/>
      <c r="J63" s="120"/>
      <c r="K63" s="103"/>
      <c r="L63" s="103"/>
    </row>
    <row r="64" spans="1:13" ht="12.75" customHeight="1" x14ac:dyDescent="0.25">
      <c r="A64" s="81">
        <f t="shared" si="0"/>
        <v>8</v>
      </c>
      <c r="B64" s="37">
        <f t="shared" si="1"/>
        <v>2018</v>
      </c>
      <c r="C64" s="37" t="str">
        <f t="shared" si="2"/>
        <v>Rent: 1</v>
      </c>
      <c r="D64" s="40" t="str">
        <f>MONTH(D62)+1 &amp; "/1/" &amp; YEAR(D63)</f>
        <v>8/1/2018</v>
      </c>
      <c r="E64" s="39" t="str">
        <f>"Rent: "&amp;LOOKUP(A64-1, Months, TextMonths)&amp;" '"&amp;B64</f>
        <v>Rent: Aug '2018</v>
      </c>
      <c r="F64" s="36"/>
      <c r="G64" s="36">
        <v>1370.33</v>
      </c>
      <c r="H64" s="38">
        <f t="shared" si="3"/>
        <v>1370.3094000000001</v>
      </c>
      <c r="I64" s="120"/>
      <c r="J64" s="120"/>
      <c r="K64" s="120"/>
      <c r="L64" s="102"/>
    </row>
    <row r="65" spans="1:12" ht="12.75" customHeight="1" x14ac:dyDescent="0.25">
      <c r="A65" s="81">
        <f t="shared" si="0"/>
        <v>8</v>
      </c>
      <c r="B65" s="37">
        <f t="shared" si="1"/>
        <v>2018</v>
      </c>
      <c r="C65" s="37" t="str">
        <f t="shared" si="2"/>
        <v>Priv Tax: 1</v>
      </c>
      <c r="D65" s="40" t="str">
        <f>D64</f>
        <v>8/1/2018</v>
      </c>
      <c r="E65" s="39" t="s">
        <v>64</v>
      </c>
      <c r="F65" s="36"/>
      <c r="G65" s="36">
        <f>G64*0.018</f>
        <v>24.665939999999996</v>
      </c>
      <c r="H65" s="38">
        <f t="shared" si="3"/>
        <v>1394.9753400000002</v>
      </c>
      <c r="I65" s="120"/>
      <c r="J65" s="120"/>
      <c r="K65" s="120"/>
      <c r="L65" s="102"/>
    </row>
    <row r="66" spans="1:12" ht="12.75" customHeight="1" x14ac:dyDescent="0.35">
      <c r="A66" s="81">
        <f t="shared" si="0"/>
        <v>8</v>
      </c>
      <c r="B66" s="37">
        <f t="shared" si="1"/>
        <v>2018</v>
      </c>
      <c r="C66" s="37" t="str">
        <f t="shared" si="2"/>
        <v>Income: 1</v>
      </c>
      <c r="D66" s="41">
        <v>43318</v>
      </c>
      <c r="E66" s="1" t="s">
        <v>51</v>
      </c>
      <c r="F66" s="36">
        <v>1395</v>
      </c>
      <c r="G66" s="36"/>
      <c r="H66" s="38">
        <f t="shared" si="3"/>
        <v>-2.4659999999812499E-2</v>
      </c>
      <c r="I66" s="120"/>
      <c r="J66" s="120"/>
      <c r="K66" s="103"/>
      <c r="L66" s="103"/>
    </row>
    <row r="67" spans="1:12" ht="12.75" customHeight="1" x14ac:dyDescent="0.25">
      <c r="A67" s="81">
        <f t="shared" si="0"/>
        <v>9</v>
      </c>
      <c r="B67" s="37">
        <f t="shared" si="1"/>
        <v>2018</v>
      </c>
      <c r="C67" s="37" t="str">
        <f t="shared" si="2"/>
        <v>Rent: 1</v>
      </c>
      <c r="D67" s="40" t="str">
        <f>MONTH(D65)+1 &amp; "/1/" &amp; YEAR(D66)</f>
        <v>9/1/2018</v>
      </c>
      <c r="E67" s="39" t="str">
        <f>"Rent: "&amp;LOOKUP(A67-1, Months, TextMonths)&amp;" '"&amp;B67</f>
        <v>Rent: Sep '2018</v>
      </c>
      <c r="F67" s="36"/>
      <c r="G67" s="36">
        <v>1370.33</v>
      </c>
      <c r="H67" s="38">
        <f t="shared" si="3"/>
        <v>1370.3053400000001</v>
      </c>
      <c r="I67" s="102"/>
      <c r="J67" s="102"/>
      <c r="K67" s="120"/>
      <c r="L67" s="102"/>
    </row>
    <row r="68" spans="1:12" ht="12.75" customHeight="1" x14ac:dyDescent="0.25">
      <c r="A68" s="81">
        <f t="shared" si="0"/>
        <v>9</v>
      </c>
      <c r="B68" s="37">
        <f t="shared" si="1"/>
        <v>2018</v>
      </c>
      <c r="C68" s="37" t="str">
        <f t="shared" si="2"/>
        <v>Priv Tax: 1</v>
      </c>
      <c r="D68" s="40" t="str">
        <f>D67</f>
        <v>9/1/2018</v>
      </c>
      <c r="E68" s="39" t="s">
        <v>64</v>
      </c>
      <c r="F68" s="36"/>
      <c r="G68" s="36">
        <f>G67*0.018</f>
        <v>24.665939999999996</v>
      </c>
      <c r="H68" s="38">
        <f t="shared" si="3"/>
        <v>1394.9712800000002</v>
      </c>
      <c r="I68" s="103"/>
      <c r="J68" s="103"/>
      <c r="K68" s="157"/>
      <c r="L68" s="102"/>
    </row>
    <row r="69" spans="1:12" ht="12.75" customHeight="1" thickBot="1" x14ac:dyDescent="0.4">
      <c r="A69" s="82">
        <f t="shared" si="0"/>
        <v>9</v>
      </c>
      <c r="B69" s="47">
        <f t="shared" si="1"/>
        <v>2018</v>
      </c>
      <c r="C69" s="47" t="str">
        <f t="shared" si="2"/>
        <v>Income: 1</v>
      </c>
      <c r="D69" s="79">
        <v>43347</v>
      </c>
      <c r="E69" s="76" t="s">
        <v>51</v>
      </c>
      <c r="F69" s="50">
        <v>1395</v>
      </c>
      <c r="G69" s="50"/>
      <c r="H69" s="77">
        <f t="shared" si="3"/>
        <v>-2.8719999999793799E-2</v>
      </c>
      <c r="I69" s="102"/>
      <c r="J69" s="102"/>
      <c r="K69" s="103"/>
      <c r="L69" s="103"/>
    </row>
    <row r="70" spans="1:12" ht="12.75" customHeight="1" x14ac:dyDescent="0.25">
      <c r="A70" s="80">
        <f t="shared" si="0"/>
        <v>10</v>
      </c>
      <c r="B70" s="42">
        <f t="shared" si="1"/>
        <v>2018</v>
      </c>
      <c r="C70" s="42" t="str">
        <f t="shared" si="2"/>
        <v>Rent: 1</v>
      </c>
      <c r="D70" s="43" t="str">
        <f>MONTH(D68)+1 &amp; "/1/" &amp; YEAR(D69)</f>
        <v>10/1/2018</v>
      </c>
      <c r="E70" s="44" t="str">
        <f>"Rent: "&amp;LOOKUP(A70-1, Months, TextMonths)&amp;" '"&amp;B70</f>
        <v>Rent: Oct '2018</v>
      </c>
      <c r="F70" s="45"/>
      <c r="G70" s="45">
        <v>1370.33</v>
      </c>
      <c r="H70" s="74">
        <f t="shared" si="3"/>
        <v>1370.3012800000001</v>
      </c>
      <c r="I70" s="102"/>
      <c r="J70" s="102"/>
      <c r="K70" s="102"/>
      <c r="L70" s="102"/>
    </row>
    <row r="71" spans="1:12" ht="12.75" customHeight="1" x14ac:dyDescent="0.25">
      <c r="A71" s="81">
        <f t="shared" si="0"/>
        <v>10</v>
      </c>
      <c r="B71" s="37">
        <f t="shared" si="1"/>
        <v>2018</v>
      </c>
      <c r="C71" s="37" t="str">
        <f t="shared" si="2"/>
        <v>Priv Tax: 1</v>
      </c>
      <c r="D71" s="40" t="str">
        <f>D70</f>
        <v>10/1/2018</v>
      </c>
      <c r="E71" s="39" t="s">
        <v>64</v>
      </c>
      <c r="F71" s="36"/>
      <c r="G71" s="36">
        <f>G70*0.018</f>
        <v>24.665939999999996</v>
      </c>
      <c r="H71" s="38">
        <f t="shared" si="3"/>
        <v>1394.9672200000002</v>
      </c>
      <c r="I71" s="120"/>
      <c r="J71" s="120"/>
      <c r="K71" s="120"/>
      <c r="L71" s="102"/>
    </row>
    <row r="72" spans="1:12" ht="12.75" customHeight="1" x14ac:dyDescent="0.35">
      <c r="A72" s="81">
        <f t="shared" si="0"/>
        <v>10</v>
      </c>
      <c r="B72" s="37">
        <f t="shared" si="1"/>
        <v>2018</v>
      </c>
      <c r="C72" s="37" t="str">
        <f t="shared" si="2"/>
        <v>Income: 1</v>
      </c>
      <c r="D72" s="41">
        <v>43378</v>
      </c>
      <c r="E72" s="1" t="s">
        <v>51</v>
      </c>
      <c r="F72" s="36">
        <v>1395</v>
      </c>
      <c r="G72" s="36"/>
      <c r="H72" s="38">
        <f t="shared" si="3"/>
        <v>-3.27799999997751E-2</v>
      </c>
      <c r="I72" s="102"/>
      <c r="J72" s="157"/>
      <c r="K72" s="120"/>
      <c r="L72" s="103"/>
    </row>
    <row r="73" spans="1:12" ht="12.75" customHeight="1" x14ac:dyDescent="0.25">
      <c r="A73" s="81">
        <f t="shared" si="0"/>
        <v>11</v>
      </c>
      <c r="B73" s="37">
        <f t="shared" si="1"/>
        <v>2018</v>
      </c>
      <c r="C73" s="37" t="str">
        <f t="shared" si="2"/>
        <v>Rent: 1</v>
      </c>
      <c r="D73" s="40" t="str">
        <f>MONTH(D71)+1 &amp; "/1/" &amp; YEAR(D72)</f>
        <v>11/1/2018</v>
      </c>
      <c r="E73" s="39" t="str">
        <f>"Rent: "&amp;LOOKUP(A73-1, Months, TextMonths)&amp;" '"&amp;B73</f>
        <v>Rent: Nov '2018</v>
      </c>
      <c r="F73" s="36"/>
      <c r="G73" s="36">
        <v>1370.33</v>
      </c>
      <c r="H73" s="38">
        <f t="shared" si="3"/>
        <v>1370.2972200000002</v>
      </c>
      <c r="I73" s="146"/>
      <c r="J73" s="146"/>
      <c r="K73" s="157"/>
      <c r="L73" s="102"/>
    </row>
    <row r="74" spans="1:12" ht="12.75" customHeight="1" x14ac:dyDescent="0.25">
      <c r="A74" s="81">
        <f t="shared" si="0"/>
        <v>11</v>
      </c>
      <c r="B74" s="37">
        <f t="shared" si="1"/>
        <v>2018</v>
      </c>
      <c r="C74" s="37" t="str">
        <f t="shared" si="2"/>
        <v>Priv Tax: 1</v>
      </c>
      <c r="D74" s="40" t="str">
        <f>D73</f>
        <v>11/1/2018</v>
      </c>
      <c r="E74" s="39" t="s">
        <v>64</v>
      </c>
      <c r="F74" s="36"/>
      <c r="G74" s="36">
        <f>G73*0.018</f>
        <v>24.665939999999996</v>
      </c>
      <c r="H74" s="38">
        <f t="shared" si="3"/>
        <v>1394.9631600000002</v>
      </c>
      <c r="I74" s="157"/>
      <c r="J74" s="103"/>
      <c r="K74" s="120"/>
      <c r="L74" s="102"/>
    </row>
    <row r="75" spans="1:12" ht="12.75" customHeight="1" x14ac:dyDescent="0.35">
      <c r="A75" s="81">
        <f t="shared" si="0"/>
        <v>11</v>
      </c>
      <c r="B75" s="37">
        <f t="shared" si="1"/>
        <v>2018</v>
      </c>
      <c r="C75" s="37" t="str">
        <f t="shared" si="2"/>
        <v>Income: 1</v>
      </c>
      <c r="D75" s="41">
        <v>43406</v>
      </c>
      <c r="E75" s="1" t="s">
        <v>51</v>
      </c>
      <c r="F75" s="36">
        <v>1395</v>
      </c>
      <c r="G75" s="36"/>
      <c r="H75" s="38">
        <f t="shared" si="3"/>
        <v>-3.6839999999756401E-2</v>
      </c>
      <c r="I75" s="120"/>
      <c r="J75" s="120"/>
      <c r="K75" s="120"/>
      <c r="L75" s="103"/>
    </row>
    <row r="76" spans="1:12" ht="12.75" customHeight="1" x14ac:dyDescent="0.25">
      <c r="A76" s="81">
        <f t="shared" si="0"/>
        <v>12</v>
      </c>
      <c r="B76" s="37">
        <f t="shared" si="1"/>
        <v>2018</v>
      </c>
      <c r="C76" s="37" t="str">
        <f t="shared" si="2"/>
        <v>Rent: 1</v>
      </c>
      <c r="D76" s="40" t="str">
        <f>MONTH(D74)+1 &amp; "/1/" &amp; YEAR(D75)</f>
        <v>12/1/2018</v>
      </c>
      <c r="E76" s="39" t="str">
        <f>"Rent: "&amp;LOOKUP(A76-1, Months, TextMonths)&amp;" '"&amp;B76</f>
        <v>Rent: Dec '2018</v>
      </c>
      <c r="F76" s="36"/>
      <c r="G76" s="36">
        <v>1370.33</v>
      </c>
      <c r="H76" s="38">
        <f t="shared" si="3"/>
        <v>1370.2931600000002</v>
      </c>
      <c r="I76" s="102"/>
      <c r="J76" s="102"/>
      <c r="K76" s="120"/>
      <c r="L76" s="102"/>
    </row>
    <row r="77" spans="1:12" ht="12.75" customHeight="1" x14ac:dyDescent="0.25">
      <c r="A77" s="81">
        <f t="shared" si="0"/>
        <v>12</v>
      </c>
      <c r="B77" s="37">
        <f t="shared" si="1"/>
        <v>2018</v>
      </c>
      <c r="C77" s="37" t="str">
        <f t="shared" si="2"/>
        <v>Priv Tax: 1</v>
      </c>
      <c r="D77" s="40" t="str">
        <f>D76</f>
        <v>12/1/2018</v>
      </c>
      <c r="E77" s="39" t="s">
        <v>64</v>
      </c>
      <c r="F77" s="36"/>
      <c r="G77" s="36">
        <f>G76*0.018</f>
        <v>24.665939999999996</v>
      </c>
      <c r="H77" s="38">
        <f t="shared" si="3"/>
        <v>1394.9591000000003</v>
      </c>
      <c r="I77" s="103"/>
      <c r="J77" s="103"/>
      <c r="K77" s="120"/>
      <c r="L77" s="102"/>
    </row>
    <row r="78" spans="1:12" ht="12.75" customHeight="1" thickBot="1" x14ac:dyDescent="0.4">
      <c r="A78" s="82">
        <f t="shared" si="0"/>
        <v>12</v>
      </c>
      <c r="B78" s="47">
        <f t="shared" si="1"/>
        <v>2018</v>
      </c>
      <c r="C78" s="47" t="str">
        <f t="shared" si="2"/>
        <v>Income: 1</v>
      </c>
      <c r="D78" s="79">
        <v>43438</v>
      </c>
      <c r="E78" s="76" t="s">
        <v>51</v>
      </c>
      <c r="F78" s="50">
        <v>1395</v>
      </c>
      <c r="G78" s="50"/>
      <c r="H78" s="77">
        <f t="shared" si="3"/>
        <v>-4.0899999999737702E-2</v>
      </c>
      <c r="I78" s="102"/>
      <c r="J78" s="102"/>
      <c r="K78" s="103"/>
      <c r="L78" s="103"/>
    </row>
    <row r="79" spans="1:12" ht="12.75" customHeight="1" x14ac:dyDescent="0.25">
      <c r="A79" s="80">
        <f t="shared" si="0"/>
        <v>1</v>
      </c>
      <c r="B79" s="42">
        <f t="shared" si="1"/>
        <v>2019</v>
      </c>
      <c r="C79" s="42" t="str">
        <f t="shared" si="2"/>
        <v>Rent: 1</v>
      </c>
      <c r="D79" s="43" t="str">
        <f>MOD(MONTH(D77)+1, 12) &amp; "/1/" &amp; IF(MONTH(76) &gt;= 12, YEAR(D77), YEAR(D77)+1)</f>
        <v>1/1/2019</v>
      </c>
      <c r="E79" s="44" t="str">
        <f>"Rent: "&amp;LOOKUP(A79-1, Months, TextMonths)&amp;" '"&amp;B79</f>
        <v>Rent: Jan '2019</v>
      </c>
      <c r="F79" s="45"/>
      <c r="G79" s="83">
        <f>1395/1.018</f>
        <v>1370.3339882121807</v>
      </c>
      <c r="H79" s="74">
        <f t="shared" si="3"/>
        <v>1370.2930882121809</v>
      </c>
      <c r="I79" s="102"/>
      <c r="J79" s="102"/>
      <c r="K79" s="102"/>
      <c r="L79" s="102"/>
    </row>
    <row r="80" spans="1:12" ht="12.75" customHeight="1" x14ac:dyDescent="0.25">
      <c r="A80" s="81">
        <f t="shared" si="0"/>
        <v>1</v>
      </c>
      <c r="B80" s="37">
        <f t="shared" si="1"/>
        <v>2019</v>
      </c>
      <c r="C80" s="37" t="str">
        <f t="shared" si="2"/>
        <v>Priv Tax: 1</v>
      </c>
      <c r="D80" s="40" t="str">
        <f>D79</f>
        <v>1/1/2019</v>
      </c>
      <c r="E80" s="39" t="s">
        <v>64</v>
      </c>
      <c r="F80" s="36"/>
      <c r="G80" s="84">
        <f>G79*0.018</f>
        <v>24.666011787819251</v>
      </c>
      <c r="H80" s="38">
        <f t="shared" si="3"/>
        <v>1394.9591000000003</v>
      </c>
      <c r="I80" s="120"/>
      <c r="J80" s="120"/>
      <c r="K80" s="120"/>
      <c r="L80" s="102"/>
    </row>
    <row r="81" spans="1:12" ht="12.75" customHeight="1" x14ac:dyDescent="0.35">
      <c r="A81" s="81">
        <f t="shared" si="0"/>
        <v>1</v>
      </c>
      <c r="B81" s="37">
        <f t="shared" si="1"/>
        <v>2019</v>
      </c>
      <c r="C81" s="37" t="str">
        <f t="shared" si="2"/>
        <v>Income: 1</v>
      </c>
      <c r="D81" s="41">
        <v>43469</v>
      </c>
      <c r="E81" s="1" t="s">
        <v>51</v>
      </c>
      <c r="F81" s="36">
        <v>1395</v>
      </c>
      <c r="G81" s="36"/>
      <c r="H81" s="38">
        <f t="shared" si="3"/>
        <v>-4.0899999999737702E-2</v>
      </c>
      <c r="I81" s="120"/>
      <c r="J81" s="120"/>
      <c r="K81" s="103"/>
      <c r="L81" s="103"/>
    </row>
    <row r="82" spans="1:12" ht="12.75" customHeight="1" x14ac:dyDescent="0.25">
      <c r="A82" s="81">
        <f t="shared" si="0"/>
        <v>2</v>
      </c>
      <c r="B82" s="37">
        <f t="shared" si="1"/>
        <v>2019</v>
      </c>
      <c r="C82" s="37" t="str">
        <f t="shared" si="2"/>
        <v>Rent: 1</v>
      </c>
      <c r="D82" s="40" t="str">
        <f>MONTH(D80)+1 &amp; "/1/" &amp; YEAR(D81)</f>
        <v>2/1/2019</v>
      </c>
      <c r="E82" s="39" t="str">
        <f>"Rent: "&amp;LOOKUP(A82-1, Months, TextMonths)&amp;" '"&amp;B82</f>
        <v>Rent: Feb '2019</v>
      </c>
      <c r="F82" s="36"/>
      <c r="G82" s="84">
        <f>1395/1.018 +0.04</f>
        <v>1370.3739882121806</v>
      </c>
      <c r="H82" s="38">
        <f t="shared" si="3"/>
        <v>1370.3330882121809</v>
      </c>
      <c r="I82" s="120"/>
      <c r="J82" s="120"/>
      <c r="K82" s="120"/>
      <c r="L82" s="102"/>
    </row>
    <row r="83" spans="1:12" ht="12.75" customHeight="1" x14ac:dyDescent="0.25">
      <c r="A83" s="81">
        <f t="shared" si="0"/>
        <v>2</v>
      </c>
      <c r="B83" s="37">
        <f t="shared" si="1"/>
        <v>2019</v>
      </c>
      <c r="C83" s="37" t="str">
        <f t="shared" si="2"/>
        <v>Priv Tax: 1</v>
      </c>
      <c r="D83" s="40" t="str">
        <f>D82</f>
        <v>2/1/2019</v>
      </c>
      <c r="E83" s="39" t="s">
        <v>64</v>
      </c>
      <c r="F83" s="36"/>
      <c r="G83" s="84">
        <f>G82*0.018</f>
        <v>24.666731787819248</v>
      </c>
      <c r="H83" s="38">
        <f t="shared" si="3"/>
        <v>1394.9998200000002</v>
      </c>
      <c r="I83" s="102"/>
      <c r="J83" s="157"/>
      <c r="K83" s="120"/>
      <c r="L83" s="102"/>
    </row>
    <row r="84" spans="1:12" ht="12.75" customHeight="1" x14ac:dyDescent="0.35">
      <c r="A84" s="81">
        <f t="shared" si="0"/>
        <v>2</v>
      </c>
      <c r="B84" s="37">
        <f t="shared" si="1"/>
        <v>2019</v>
      </c>
      <c r="C84" s="37" t="str">
        <f t="shared" si="2"/>
        <v>Income: 1</v>
      </c>
      <c r="D84" s="41">
        <v>43501</v>
      </c>
      <c r="E84" s="1" t="s">
        <v>51</v>
      </c>
      <c r="F84" s="36">
        <v>1395</v>
      </c>
      <c r="G84" s="36"/>
      <c r="H84" s="38">
        <f t="shared" si="3"/>
        <v>-1.7999999977291736E-4</v>
      </c>
      <c r="I84" s="146"/>
      <c r="J84" s="146"/>
      <c r="K84" s="157"/>
      <c r="L84" s="103"/>
    </row>
    <row r="85" spans="1:12" ht="12.75" customHeight="1" x14ac:dyDescent="0.25">
      <c r="A85" s="81">
        <f t="shared" si="0"/>
        <v>3</v>
      </c>
      <c r="B85" s="37">
        <f t="shared" si="1"/>
        <v>2019</v>
      </c>
      <c r="C85" s="37" t="str">
        <f t="shared" si="2"/>
        <v>Rent: 1</v>
      </c>
      <c r="D85" s="40" t="str">
        <f>MONTH(D83)+1 &amp; "/1/" &amp; YEAR(D84)</f>
        <v>3/1/2019</v>
      </c>
      <c r="E85" s="39" t="str">
        <f>"Rent: "&amp;LOOKUP(A85-1, Months, TextMonths)&amp;" '"&amp;B85</f>
        <v>Rent: Mar '2019</v>
      </c>
      <c r="F85" s="36"/>
      <c r="G85" s="84">
        <f>1395/1.018</f>
        <v>1370.3339882121807</v>
      </c>
      <c r="H85" s="38">
        <f t="shared" si="3"/>
        <v>1370.3338082121809</v>
      </c>
      <c r="I85" s="102"/>
      <c r="J85" s="102"/>
      <c r="K85" s="120"/>
      <c r="L85" s="102"/>
    </row>
    <row r="86" spans="1:12" ht="12.75" customHeight="1" x14ac:dyDescent="0.25">
      <c r="A86" s="81">
        <f t="shared" si="0"/>
        <v>3</v>
      </c>
      <c r="B86" s="37">
        <f t="shared" si="1"/>
        <v>2019</v>
      </c>
      <c r="C86" s="37" t="str">
        <f t="shared" si="2"/>
        <v>Priv Tax: 1</v>
      </c>
      <c r="D86" s="40" t="str">
        <f>D85</f>
        <v>3/1/2019</v>
      </c>
      <c r="E86" s="39" t="s">
        <v>64</v>
      </c>
      <c r="F86" s="36"/>
      <c r="G86" s="84">
        <f>G85*0.018</f>
        <v>24.666011787819251</v>
      </c>
      <c r="H86" s="38">
        <f t="shared" si="3"/>
        <v>1394.9998200000002</v>
      </c>
      <c r="I86" s="103"/>
      <c r="J86" s="103"/>
      <c r="K86" s="103"/>
      <c r="L86" s="102"/>
    </row>
    <row r="87" spans="1:12" ht="12.75" customHeight="1" x14ac:dyDescent="0.35">
      <c r="A87" s="81">
        <f t="shared" si="0"/>
        <v>2</v>
      </c>
      <c r="B87" s="37">
        <f t="shared" si="1"/>
        <v>2019</v>
      </c>
      <c r="C87" s="37" t="str">
        <f t="shared" si="2"/>
        <v/>
      </c>
      <c r="D87" s="41">
        <v>43501</v>
      </c>
      <c r="E87" s="1" t="s">
        <v>75</v>
      </c>
      <c r="F87" s="84"/>
      <c r="G87" s="36"/>
      <c r="H87" s="38">
        <f t="shared" si="3"/>
        <v>1394.9998200000002</v>
      </c>
      <c r="I87" s="103"/>
      <c r="J87" s="103"/>
      <c r="K87" s="120"/>
      <c r="L87" s="102"/>
    </row>
    <row r="88" spans="1:12" ht="12.75" customHeight="1" thickBot="1" x14ac:dyDescent="0.4">
      <c r="A88" s="82">
        <f t="shared" si="0"/>
        <v>3</v>
      </c>
      <c r="B88" s="47">
        <f t="shared" si="1"/>
        <v>2019</v>
      </c>
      <c r="C88" s="47" t="str">
        <f t="shared" si="2"/>
        <v>Income: 1</v>
      </c>
      <c r="D88" s="79">
        <v>43528</v>
      </c>
      <c r="E88" s="76" t="s">
        <v>51</v>
      </c>
      <c r="F88" s="50">
        <v>1395</v>
      </c>
      <c r="G88" s="50"/>
      <c r="H88" s="38">
        <f t="shared" si="3"/>
        <v>-1.7999999977291736E-4</v>
      </c>
      <c r="I88" s="102"/>
      <c r="J88" s="146"/>
      <c r="K88" s="103"/>
      <c r="L88" s="103"/>
    </row>
    <row r="89" spans="1:12" ht="12.75" customHeight="1" x14ac:dyDescent="0.25">
      <c r="A89" s="80">
        <f t="shared" si="0"/>
        <v>4</v>
      </c>
      <c r="B89" s="42">
        <f t="shared" si="1"/>
        <v>2019</v>
      </c>
      <c r="C89" s="42" t="str">
        <f t="shared" si="2"/>
        <v>Rent: 1</v>
      </c>
      <c r="D89" s="43" t="str">
        <f>MONTH(D88)+1 &amp; "/1/" &amp; YEAR(D88)</f>
        <v>4/1/2019</v>
      </c>
      <c r="E89" s="44" t="str">
        <f>"Rent: "&amp;LOOKUP(A89-1, Months, TextMonths)&amp;" '"&amp;B89</f>
        <v>Rent: Apr '2019</v>
      </c>
      <c r="F89" s="45"/>
      <c r="G89" s="83">
        <f>1395/1.018</f>
        <v>1370.3339882121807</v>
      </c>
      <c r="H89" s="74">
        <f t="shared" si="3"/>
        <v>1370.3338082121809</v>
      </c>
      <c r="I89" s="102"/>
      <c r="J89" s="102"/>
      <c r="K89" s="102"/>
      <c r="L89" s="102"/>
    </row>
    <row r="90" spans="1:12" ht="12.75" customHeight="1" x14ac:dyDescent="0.25">
      <c r="A90" s="81">
        <f t="shared" si="0"/>
        <v>4</v>
      </c>
      <c r="B90" s="37">
        <f t="shared" si="1"/>
        <v>2019</v>
      </c>
      <c r="C90" s="37" t="str">
        <f t="shared" si="2"/>
        <v>Priv Tax: 1</v>
      </c>
      <c r="D90" s="40" t="str">
        <f>D89</f>
        <v>4/1/2019</v>
      </c>
      <c r="E90" s="39" t="s">
        <v>64</v>
      </c>
      <c r="F90" s="36"/>
      <c r="G90" s="84">
        <f>G89*0.018</f>
        <v>24.666011787819251</v>
      </c>
      <c r="H90" s="38">
        <f t="shared" si="3"/>
        <v>1394.9998200000002</v>
      </c>
      <c r="I90" s="102"/>
      <c r="J90" s="102"/>
      <c r="K90" s="102"/>
      <c r="L90" s="102"/>
    </row>
    <row r="91" spans="1:12" ht="12.75" customHeight="1" x14ac:dyDescent="0.35">
      <c r="A91" s="81">
        <f t="shared" si="0"/>
        <v>4</v>
      </c>
      <c r="B91" s="37">
        <f t="shared" si="1"/>
        <v>2019</v>
      </c>
      <c r="C91" s="37" t="str">
        <f t="shared" si="2"/>
        <v>Income: 1</v>
      </c>
      <c r="D91" s="41">
        <v>43557</v>
      </c>
      <c r="E91" s="1" t="s">
        <v>51</v>
      </c>
      <c r="F91" s="36">
        <v>1395</v>
      </c>
      <c r="G91" s="36"/>
      <c r="H91" s="38">
        <f t="shared" si="3"/>
        <v>-1.7999999977291736E-4</v>
      </c>
      <c r="I91" s="102"/>
      <c r="J91" s="102"/>
      <c r="K91" s="103"/>
      <c r="L91" s="103"/>
    </row>
    <row r="92" spans="1:12" ht="12.75" customHeight="1" x14ac:dyDescent="0.25">
      <c r="A92" s="81">
        <f t="shared" si="0"/>
        <v>5</v>
      </c>
      <c r="B92" s="37">
        <f t="shared" si="1"/>
        <v>2019</v>
      </c>
      <c r="C92" s="37" t="str">
        <f t="shared" si="2"/>
        <v>Rent: 1</v>
      </c>
      <c r="D92" s="40" t="str">
        <f>MONTH(D90)+1 &amp; "/1/" &amp; YEAR(D91)</f>
        <v>5/1/2019</v>
      </c>
      <c r="E92" s="39" t="str">
        <f>"Rent: "&amp;LOOKUP(A92-1, Months, TextMonths)&amp;" '"&amp;B92</f>
        <v>Rent: May '2019</v>
      </c>
      <c r="F92" s="36"/>
      <c r="G92" s="84">
        <f>1395/1.018</f>
        <v>1370.3339882121807</v>
      </c>
      <c r="H92" s="38">
        <f t="shared" si="3"/>
        <v>1370.3338082121809</v>
      </c>
      <c r="I92" s="102"/>
      <c r="J92" s="102"/>
      <c r="K92" s="102"/>
      <c r="L92" s="102"/>
    </row>
    <row r="93" spans="1:12" ht="12.75" customHeight="1" x14ac:dyDescent="0.25">
      <c r="A93" s="81">
        <f t="shared" si="0"/>
        <v>5</v>
      </c>
      <c r="B93" s="37">
        <f t="shared" si="1"/>
        <v>2019</v>
      </c>
      <c r="C93" s="37" t="str">
        <f t="shared" si="2"/>
        <v>Priv Tax: 1</v>
      </c>
      <c r="D93" s="40" t="str">
        <f>D92</f>
        <v>5/1/2019</v>
      </c>
      <c r="E93" s="39" t="s">
        <v>64</v>
      </c>
      <c r="F93" s="36"/>
      <c r="G93" s="84">
        <f>G92*0.018</f>
        <v>24.666011787819251</v>
      </c>
      <c r="H93" s="38">
        <f t="shared" si="3"/>
        <v>1394.9998200000002</v>
      </c>
      <c r="I93" s="102"/>
      <c r="J93" s="102"/>
      <c r="K93" s="102"/>
      <c r="L93" s="102"/>
    </row>
    <row r="94" spans="1:12" ht="12.75" customHeight="1" x14ac:dyDescent="0.35">
      <c r="A94" s="81">
        <f t="shared" si="0"/>
        <v>5</v>
      </c>
      <c r="B94" s="37">
        <f t="shared" si="1"/>
        <v>2019</v>
      </c>
      <c r="C94" s="37" t="str">
        <f t="shared" si="2"/>
        <v>Income: 1</v>
      </c>
      <c r="D94" s="41">
        <v>43588</v>
      </c>
      <c r="E94" s="1" t="s">
        <v>51</v>
      </c>
      <c r="F94" s="36">
        <v>1395</v>
      </c>
      <c r="G94" s="36"/>
      <c r="H94" s="38">
        <f t="shared" si="3"/>
        <v>-1.7999999977291736E-4</v>
      </c>
      <c r="I94" s="146"/>
      <c r="J94" s="146"/>
      <c r="K94" s="102"/>
      <c r="L94" s="103"/>
    </row>
    <row r="95" spans="1:12" ht="12.75" customHeight="1" x14ac:dyDescent="0.25">
      <c r="A95" s="81">
        <f t="shared" si="0"/>
        <v>6</v>
      </c>
      <c r="B95" s="37">
        <f t="shared" si="1"/>
        <v>2019</v>
      </c>
      <c r="C95" s="37" t="str">
        <f t="shared" si="2"/>
        <v>Rent: 1</v>
      </c>
      <c r="D95" s="40" t="str">
        <f>MONTH(D93)+1 &amp; "/1/" &amp; YEAR(D94)</f>
        <v>6/1/2019</v>
      </c>
      <c r="E95" s="39" t="str">
        <f>"Rent: "&amp;LOOKUP(A95-1, Months, TextMonths)&amp;" '"&amp;B95</f>
        <v>Rent: Jun '2019</v>
      </c>
      <c r="F95" s="36"/>
      <c r="G95" s="84">
        <f>1395/1.018</f>
        <v>1370.3339882121807</v>
      </c>
      <c r="H95" s="38">
        <f t="shared" si="3"/>
        <v>1370.3338082121809</v>
      </c>
      <c r="I95" s="102"/>
      <c r="J95" s="102"/>
      <c r="K95" s="102"/>
      <c r="L95" s="102"/>
    </row>
    <row r="96" spans="1:12" ht="12.75" customHeight="1" x14ac:dyDescent="0.25">
      <c r="A96" s="81">
        <f t="shared" si="0"/>
        <v>6</v>
      </c>
      <c r="B96" s="37">
        <f t="shared" si="1"/>
        <v>2019</v>
      </c>
      <c r="C96" s="37" t="str">
        <f t="shared" si="2"/>
        <v>Priv Tax: 1</v>
      </c>
      <c r="D96" s="40" t="str">
        <f>D95</f>
        <v>6/1/2019</v>
      </c>
      <c r="E96" s="39" t="s">
        <v>64</v>
      </c>
      <c r="F96" s="36"/>
      <c r="G96" s="84">
        <f>G95*0.018</f>
        <v>24.666011787819251</v>
      </c>
      <c r="H96" s="38">
        <f t="shared" si="3"/>
        <v>1394.9998200000002</v>
      </c>
      <c r="I96" s="103"/>
      <c r="J96" s="103"/>
      <c r="K96" s="102"/>
      <c r="L96" s="102"/>
    </row>
    <row r="97" spans="1:12" ht="12.75" customHeight="1" thickBot="1" x14ac:dyDescent="0.4">
      <c r="A97" s="82">
        <f t="shared" si="0"/>
        <v>6</v>
      </c>
      <c r="B97" s="47">
        <f t="shared" si="1"/>
        <v>2019</v>
      </c>
      <c r="C97" s="47" t="str">
        <f t="shared" si="2"/>
        <v>Income: 1</v>
      </c>
      <c r="D97" s="79">
        <v>43619</v>
      </c>
      <c r="E97" s="76" t="s">
        <v>51</v>
      </c>
      <c r="F97" s="50">
        <v>1395</v>
      </c>
      <c r="G97" s="50"/>
      <c r="H97" s="77">
        <f t="shared" si="3"/>
        <v>-1.7999999977291736E-4</v>
      </c>
      <c r="I97" s="102"/>
      <c r="J97" s="102"/>
      <c r="K97" s="102"/>
      <c r="L97" s="102"/>
    </row>
    <row r="98" spans="1:12" ht="12.75" customHeight="1" x14ac:dyDescent="0.25">
      <c r="A98" s="80">
        <f t="shared" si="0"/>
        <v>7</v>
      </c>
      <c r="B98" s="42">
        <f t="shared" si="1"/>
        <v>2019</v>
      </c>
      <c r="C98" s="42" t="str">
        <f t="shared" si="2"/>
        <v>Rent: 1</v>
      </c>
      <c r="D98" s="43" t="str">
        <f>MONTH(D97)+1 &amp; "/1/" &amp; YEAR(D97)</f>
        <v>7/1/2019</v>
      </c>
      <c r="E98" s="44" t="str">
        <f>"Rent: "&amp;LOOKUP(A98-1, Months, TextMonths)&amp;" '"&amp;B98</f>
        <v>Rent: Jul '2019</v>
      </c>
      <c r="F98" s="45"/>
      <c r="G98" s="83">
        <f>1395/1.018</f>
        <v>1370.3339882121807</v>
      </c>
      <c r="H98" s="74">
        <f t="shared" si="3"/>
        <v>1370.3338082121809</v>
      </c>
      <c r="I98" s="102"/>
      <c r="J98" s="102"/>
      <c r="K98" s="102"/>
      <c r="L98" s="102"/>
    </row>
    <row r="99" spans="1:12" ht="12.75" customHeight="1" x14ac:dyDescent="0.25">
      <c r="A99" s="81">
        <f t="shared" si="0"/>
        <v>7</v>
      </c>
      <c r="B99" s="37">
        <f t="shared" si="1"/>
        <v>2019</v>
      </c>
      <c r="C99" s="37" t="str">
        <f t="shared" si="2"/>
        <v>Priv Tax: 1</v>
      </c>
      <c r="D99" s="40" t="str">
        <f>D98</f>
        <v>7/1/2019</v>
      </c>
      <c r="E99" s="39" t="s">
        <v>64</v>
      </c>
      <c r="F99" s="36"/>
      <c r="G99" s="84">
        <f>G98*0.018</f>
        <v>24.666011787819251</v>
      </c>
      <c r="H99" s="38">
        <f t="shared" si="3"/>
        <v>1394.9998200000002</v>
      </c>
      <c r="I99" s="102"/>
      <c r="J99" s="102"/>
      <c r="K99" s="102"/>
      <c r="L99" s="102"/>
    </row>
    <row r="100" spans="1:12" ht="12.75" customHeight="1" x14ac:dyDescent="0.35">
      <c r="A100" s="81">
        <f t="shared" si="0"/>
        <v>7</v>
      </c>
      <c r="B100" s="37">
        <f t="shared" si="1"/>
        <v>2019</v>
      </c>
      <c r="C100" s="37" t="str">
        <f t="shared" si="2"/>
        <v>Income: 1</v>
      </c>
      <c r="D100" s="41">
        <v>43651</v>
      </c>
      <c r="E100" s="1" t="s">
        <v>51</v>
      </c>
      <c r="F100" s="36">
        <v>1395</v>
      </c>
      <c r="G100" s="36"/>
      <c r="H100" s="38">
        <f t="shared" si="3"/>
        <v>-1.7999999977291736E-4</v>
      </c>
      <c r="I100" s="102"/>
      <c r="J100" s="102"/>
      <c r="K100" s="103"/>
      <c r="L100" s="103"/>
    </row>
    <row r="101" spans="1:12" ht="12.75" customHeight="1" x14ac:dyDescent="0.25">
      <c r="A101" s="81">
        <f t="shared" si="0"/>
        <v>8</v>
      </c>
      <c r="B101" s="37">
        <f t="shared" si="1"/>
        <v>2019</v>
      </c>
      <c r="C101" s="37" t="str">
        <f t="shared" si="2"/>
        <v>Rent: 1</v>
      </c>
      <c r="D101" s="40" t="str">
        <f>MONTH(D99)+1 &amp; "/1/" &amp; YEAR(D100)</f>
        <v>8/1/2019</v>
      </c>
      <c r="E101" s="39" t="str">
        <f>"Rent: "&amp;LOOKUP(A101-1, Months, TextMonths)&amp;" '"&amp;B101</f>
        <v>Rent: Aug '2019</v>
      </c>
      <c r="F101" s="36"/>
      <c r="G101" s="84">
        <f>1395/1.018</f>
        <v>1370.3339882121807</v>
      </c>
      <c r="H101" s="38">
        <f t="shared" si="3"/>
        <v>1370.3338082121809</v>
      </c>
      <c r="I101" s="102"/>
      <c r="J101" s="102"/>
      <c r="K101" s="102"/>
      <c r="L101" s="102"/>
    </row>
    <row r="102" spans="1:12" ht="12.75" customHeight="1" x14ac:dyDescent="0.25">
      <c r="A102" s="81">
        <f t="shared" si="0"/>
        <v>8</v>
      </c>
      <c r="B102" s="37">
        <f t="shared" si="1"/>
        <v>2019</v>
      </c>
      <c r="C102" s="37" t="str">
        <f t="shared" si="2"/>
        <v>Priv Tax: 1</v>
      </c>
      <c r="D102" s="40" t="str">
        <f>D101</f>
        <v>8/1/2019</v>
      </c>
      <c r="E102" s="39" t="s">
        <v>64</v>
      </c>
      <c r="F102" s="36"/>
      <c r="G102" s="84">
        <f>G101*0.018</f>
        <v>24.666011787819251</v>
      </c>
      <c r="H102" s="38">
        <f t="shared" si="3"/>
        <v>1394.9998200000002</v>
      </c>
      <c r="I102" s="102"/>
      <c r="J102" s="102"/>
      <c r="K102" s="102"/>
      <c r="L102" s="102"/>
    </row>
    <row r="103" spans="1:12" ht="12.75" customHeight="1" x14ac:dyDescent="0.35">
      <c r="A103" s="81">
        <f t="shared" si="0"/>
        <v>8</v>
      </c>
      <c r="B103" s="37">
        <f t="shared" si="1"/>
        <v>2019</v>
      </c>
      <c r="C103" s="37" t="str">
        <f t="shared" si="2"/>
        <v>Income: 1</v>
      </c>
      <c r="D103" s="41">
        <v>43684</v>
      </c>
      <c r="E103" s="1" t="s">
        <v>51</v>
      </c>
      <c r="F103" s="36">
        <v>1395</v>
      </c>
      <c r="G103" s="36"/>
      <c r="H103" s="38">
        <f t="shared" si="3"/>
        <v>-1.7999999977291736E-4</v>
      </c>
      <c r="I103" s="103"/>
      <c r="J103" s="103"/>
      <c r="K103" s="103"/>
      <c r="L103" s="102"/>
    </row>
    <row r="104" spans="1:12" ht="12.75" customHeight="1" x14ac:dyDescent="0.25">
      <c r="A104" s="81">
        <f t="shared" si="0"/>
        <v>8</v>
      </c>
      <c r="B104" s="37">
        <f t="shared" si="1"/>
        <v>2019</v>
      </c>
      <c r="C104" s="37" t="str">
        <f t="shared" si="2"/>
        <v/>
      </c>
      <c r="D104" s="86">
        <v>43684</v>
      </c>
      <c r="E104" s="29" t="s">
        <v>52</v>
      </c>
      <c r="F104" s="36"/>
      <c r="G104" s="36">
        <v>0</v>
      </c>
      <c r="H104" s="38">
        <f t="shared" si="3"/>
        <v>-1.7999999977291736E-4</v>
      </c>
      <c r="I104" s="102"/>
      <c r="J104" s="102"/>
      <c r="K104" s="102"/>
      <c r="L104" s="102"/>
    </row>
    <row r="105" spans="1:12" ht="12.75" customHeight="1" x14ac:dyDescent="0.25">
      <c r="A105" s="81">
        <f t="shared" si="0"/>
        <v>9</v>
      </c>
      <c r="B105" s="37">
        <f t="shared" si="1"/>
        <v>2019</v>
      </c>
      <c r="C105" s="37" t="str">
        <f t="shared" si="2"/>
        <v>Rent: 1</v>
      </c>
      <c r="D105" s="40" t="str">
        <f>MONTH(D103)+1 &amp; "/1/" &amp; YEAR(D104)</f>
        <v>9/1/2019</v>
      </c>
      <c r="E105" s="39" t="str">
        <f>"Rent: "&amp;LOOKUP(A105-1, Months, TextMonths)&amp;" '"&amp;B105</f>
        <v>Rent: Sep '2019</v>
      </c>
      <c r="F105" s="36"/>
      <c r="G105" s="84">
        <f>1395/1.018</f>
        <v>1370.3339882121807</v>
      </c>
      <c r="H105" s="38">
        <f t="shared" si="3"/>
        <v>1370.3338082121809</v>
      </c>
      <c r="I105" s="102"/>
      <c r="J105" s="102"/>
      <c r="K105" s="102"/>
      <c r="L105" s="102"/>
    </row>
    <row r="106" spans="1:12" ht="12.75" customHeight="1" x14ac:dyDescent="0.25">
      <c r="A106" s="81">
        <f t="shared" si="0"/>
        <v>9</v>
      </c>
      <c r="B106" s="37">
        <f t="shared" si="1"/>
        <v>2019</v>
      </c>
      <c r="C106" s="37" t="str">
        <f t="shared" si="2"/>
        <v>Priv Tax: 1</v>
      </c>
      <c r="D106" s="40" t="str">
        <f>D105</f>
        <v>9/1/2019</v>
      </c>
      <c r="E106" s="39" t="s">
        <v>64</v>
      </c>
      <c r="F106" s="36"/>
      <c r="G106" s="84">
        <f>G105*0.018</f>
        <v>24.666011787819251</v>
      </c>
      <c r="H106" s="38">
        <f t="shared" si="3"/>
        <v>1394.9998200000002</v>
      </c>
      <c r="I106" s="102"/>
      <c r="J106" s="102"/>
      <c r="K106" s="102"/>
      <c r="L106" s="102"/>
    </row>
    <row r="107" spans="1:12" ht="12.75" customHeight="1" thickBot="1" x14ac:dyDescent="0.4">
      <c r="A107" s="82">
        <f t="shared" si="0"/>
        <v>9</v>
      </c>
      <c r="B107" s="47">
        <f t="shared" si="1"/>
        <v>2019</v>
      </c>
      <c r="C107" s="47" t="str">
        <f t="shared" si="2"/>
        <v>Income: 1</v>
      </c>
      <c r="D107" s="79">
        <v>43711</v>
      </c>
      <c r="E107" s="76" t="s">
        <v>51</v>
      </c>
      <c r="F107" s="50">
        <v>1395</v>
      </c>
      <c r="G107" s="50"/>
      <c r="H107" s="77">
        <f t="shared" si="3"/>
        <v>-1.7999999977291736E-4</v>
      </c>
      <c r="I107" s="102"/>
      <c r="J107" s="102"/>
      <c r="K107" s="102"/>
      <c r="L107" s="102"/>
    </row>
    <row r="108" spans="1:12" ht="12.75" customHeight="1" x14ac:dyDescent="0.25">
      <c r="A108" s="80">
        <f t="shared" si="0"/>
        <v>10</v>
      </c>
      <c r="B108" s="42">
        <f t="shared" si="1"/>
        <v>2019</v>
      </c>
      <c r="C108" s="42" t="str">
        <f t="shared" si="2"/>
        <v>Rent: 1</v>
      </c>
      <c r="D108" s="43" t="str">
        <f>MONTH(D107)+1 &amp; "/1/" &amp; YEAR(D107)</f>
        <v>10/1/2019</v>
      </c>
      <c r="E108" s="44" t="str">
        <f>"Rent: "&amp;LOOKUP(A108-1, Months, TextMonths)&amp;" '"&amp;B108</f>
        <v>Rent: Oct '2019</v>
      </c>
      <c r="F108" s="45"/>
      <c r="G108" s="83">
        <f>1395/1.018</f>
        <v>1370.3339882121807</v>
      </c>
      <c r="H108" s="74">
        <f t="shared" si="3"/>
        <v>1370.3338082121809</v>
      </c>
      <c r="I108" s="102"/>
      <c r="J108" s="157"/>
      <c r="K108" s="103"/>
      <c r="L108" s="102"/>
    </row>
    <row r="109" spans="1:12" ht="12.75" customHeight="1" x14ac:dyDescent="0.25">
      <c r="A109" s="81">
        <f t="shared" si="0"/>
        <v>10</v>
      </c>
      <c r="B109" s="37">
        <f t="shared" si="1"/>
        <v>2019</v>
      </c>
      <c r="C109" s="37" t="str">
        <f t="shared" si="2"/>
        <v>Priv Tax: 1</v>
      </c>
      <c r="D109" s="40" t="str">
        <f>D108</f>
        <v>10/1/2019</v>
      </c>
      <c r="E109" s="39" t="s">
        <v>64</v>
      </c>
      <c r="F109" s="36"/>
      <c r="G109" s="84">
        <f>G108*0.018</f>
        <v>24.666011787819251</v>
      </c>
      <c r="H109" s="38">
        <f t="shared" si="3"/>
        <v>1394.9998200000002</v>
      </c>
      <c r="I109" s="146"/>
      <c r="J109" s="146"/>
      <c r="K109" s="103"/>
      <c r="L109" s="102"/>
    </row>
    <row r="110" spans="1:12" ht="12.75" customHeight="1" x14ac:dyDescent="0.35">
      <c r="A110" s="81">
        <f t="shared" si="0"/>
        <v>7</v>
      </c>
      <c r="B110" s="37">
        <f t="shared" si="1"/>
        <v>2019</v>
      </c>
      <c r="C110" s="37" t="str">
        <f t="shared" si="2"/>
        <v>Income: 1</v>
      </c>
      <c r="D110" s="41">
        <v>43651</v>
      </c>
      <c r="E110" s="1" t="s">
        <v>51</v>
      </c>
      <c r="F110" s="36">
        <v>1395</v>
      </c>
      <c r="G110" s="36"/>
      <c r="H110" s="38">
        <f t="shared" si="3"/>
        <v>-1.7999999977291736E-4</v>
      </c>
      <c r="I110" s="102"/>
      <c r="J110" s="102"/>
      <c r="K110" s="102"/>
      <c r="L110" s="102"/>
    </row>
    <row r="111" spans="1:12" ht="12.75" customHeight="1" x14ac:dyDescent="0.25">
      <c r="A111" s="81">
        <f t="shared" si="0"/>
        <v>11</v>
      </c>
      <c r="B111" s="37">
        <f t="shared" si="1"/>
        <v>2019</v>
      </c>
      <c r="C111" s="37" t="str">
        <f t="shared" si="2"/>
        <v>Rent: 1</v>
      </c>
      <c r="D111" s="40" t="str">
        <f>MONTH(D109)+1 &amp; "/1/" &amp; YEAR(D110)</f>
        <v>11/1/2019</v>
      </c>
      <c r="E111" s="39" t="str">
        <f>"Rent: "&amp;LOOKUP(A111-1, Months, TextMonths)&amp;" '"&amp;B111</f>
        <v>Rent: Nov '2019</v>
      </c>
      <c r="F111" s="36"/>
      <c r="G111" s="84">
        <f>1395/1.018</f>
        <v>1370.3339882121807</v>
      </c>
      <c r="H111" s="38">
        <f t="shared" si="3"/>
        <v>1370.3338082121809</v>
      </c>
      <c r="I111" s="103"/>
      <c r="J111" s="102"/>
      <c r="K111" s="102"/>
      <c r="L111" s="102"/>
    </row>
    <row r="112" spans="1:12" ht="12.75" customHeight="1" x14ac:dyDescent="0.25">
      <c r="A112" s="81">
        <f t="shared" si="0"/>
        <v>11</v>
      </c>
      <c r="B112" s="37">
        <f t="shared" si="1"/>
        <v>2019</v>
      </c>
      <c r="C112" s="37" t="str">
        <f t="shared" si="2"/>
        <v>Priv Tax: 1</v>
      </c>
      <c r="D112" s="40" t="str">
        <f>D111</f>
        <v>11/1/2019</v>
      </c>
      <c r="E112" s="39" t="s">
        <v>64</v>
      </c>
      <c r="F112" s="36"/>
      <c r="G112" s="84">
        <f>G111*0.018</f>
        <v>24.666011787819251</v>
      </c>
      <c r="H112" s="38">
        <f t="shared" si="3"/>
        <v>1394.9998200000002</v>
      </c>
      <c r="I112" s="102"/>
      <c r="J112" s="102"/>
      <c r="K112" s="102"/>
      <c r="L112" s="102"/>
    </row>
    <row r="113" spans="1:14" ht="12.75" customHeight="1" x14ac:dyDescent="0.35">
      <c r="A113" s="81">
        <f t="shared" si="0"/>
        <v>11</v>
      </c>
      <c r="B113" s="37">
        <f t="shared" si="1"/>
        <v>2019</v>
      </c>
      <c r="C113" s="37" t="str">
        <f t="shared" si="2"/>
        <v>Income: 1</v>
      </c>
      <c r="D113" s="41">
        <v>43770</v>
      </c>
      <c r="E113" s="1" t="s">
        <v>51</v>
      </c>
      <c r="F113" s="36">
        <v>1395</v>
      </c>
      <c r="G113" s="36"/>
      <c r="H113" s="38">
        <f t="shared" si="3"/>
        <v>-1.7999999977291736E-4</v>
      </c>
      <c r="I113" s="103"/>
      <c r="J113" s="103"/>
      <c r="K113" s="102"/>
      <c r="L113" s="102"/>
    </row>
    <row r="114" spans="1:14" ht="12.75" customHeight="1" x14ac:dyDescent="0.25">
      <c r="A114" s="81">
        <f t="shared" si="0"/>
        <v>12</v>
      </c>
      <c r="B114" s="37">
        <f t="shared" si="1"/>
        <v>2019</v>
      </c>
      <c r="C114" s="37" t="str">
        <f t="shared" si="2"/>
        <v>Rent: 1</v>
      </c>
      <c r="D114" s="40" t="str">
        <f>MONTH(D112)+1 &amp; "/1/" &amp; YEAR(D113)</f>
        <v>12/1/2019</v>
      </c>
      <c r="E114" s="39" t="str">
        <f>"Rent: "&amp;LOOKUP(A114-1, Months, TextMonths)&amp;" '"&amp;B114</f>
        <v>Rent: Dec '2019</v>
      </c>
      <c r="F114" s="36"/>
      <c r="G114" s="84">
        <f>1395/1.018</f>
        <v>1370.3339882121807</v>
      </c>
      <c r="H114" s="38">
        <f t="shared" si="3"/>
        <v>1370.3338082121809</v>
      </c>
      <c r="I114" s="102"/>
      <c r="J114" s="102"/>
      <c r="K114" s="102"/>
      <c r="L114" s="102"/>
    </row>
    <row r="115" spans="1:14" ht="12.75" customHeight="1" x14ac:dyDescent="0.25">
      <c r="A115" s="81">
        <f t="shared" si="0"/>
        <v>12</v>
      </c>
      <c r="B115" s="37">
        <f t="shared" si="1"/>
        <v>2019</v>
      </c>
      <c r="C115" s="37" t="str">
        <f t="shared" si="2"/>
        <v>Priv Tax: 1</v>
      </c>
      <c r="D115" s="40" t="str">
        <f>D114</f>
        <v>12/1/2019</v>
      </c>
      <c r="E115" s="39" t="s">
        <v>64</v>
      </c>
      <c r="F115" s="36"/>
      <c r="G115" s="84">
        <f>G114*0.018</f>
        <v>24.666011787819251</v>
      </c>
      <c r="H115" s="38">
        <f t="shared" si="3"/>
        <v>1394.9998200000002</v>
      </c>
      <c r="I115" s="102"/>
      <c r="J115" s="102"/>
      <c r="K115" s="102"/>
      <c r="L115" s="102"/>
    </row>
    <row r="116" spans="1:14" ht="12.75" customHeight="1" thickBot="1" x14ac:dyDescent="0.4">
      <c r="A116" s="82">
        <f t="shared" si="0"/>
        <v>12</v>
      </c>
      <c r="B116" s="47">
        <f t="shared" si="1"/>
        <v>2019</v>
      </c>
      <c r="C116" s="47" t="str">
        <f t="shared" si="2"/>
        <v>Income: 1</v>
      </c>
      <c r="D116" s="79">
        <v>43802</v>
      </c>
      <c r="E116" s="76" t="s">
        <v>51</v>
      </c>
      <c r="F116" s="50">
        <v>1395</v>
      </c>
      <c r="G116" s="50"/>
      <c r="H116" s="77">
        <f t="shared" si="3"/>
        <v>-1.7999999977291736E-4</v>
      </c>
      <c r="I116" s="102"/>
      <c r="J116" s="102"/>
      <c r="K116" s="102"/>
      <c r="L116" s="102"/>
    </row>
    <row r="117" spans="1:14" ht="12.75" customHeight="1" x14ac:dyDescent="0.35">
      <c r="A117" s="37">
        <f>MONTH(D117)</f>
        <v>12</v>
      </c>
      <c r="B117" s="37">
        <f>YEAR(D117)</f>
        <v>2019</v>
      </c>
      <c r="C117" s="37" t="str">
        <f t="shared" si="2"/>
        <v/>
      </c>
      <c r="D117" s="53">
        <v>43816</v>
      </c>
      <c r="E117" s="2" t="s">
        <v>54</v>
      </c>
      <c r="F117" s="54">
        <v>1350</v>
      </c>
      <c r="G117" s="54"/>
      <c r="H117" s="54"/>
      <c r="I117" s="29"/>
      <c r="J117" s="29"/>
      <c r="K117" s="29"/>
      <c r="L117" s="29"/>
    </row>
    <row r="118" spans="1:14" ht="12.75" customHeight="1" x14ac:dyDescent="0.3">
      <c r="A118" s="55">
        <f>MONTH(D118)</f>
        <v>12</v>
      </c>
      <c r="B118" s="55">
        <f>YEAR(D118)</f>
        <v>2019</v>
      </c>
      <c r="C118" s="55" t="str">
        <f t="shared" si="2"/>
        <v/>
      </c>
      <c r="D118" s="165">
        <v>43830</v>
      </c>
      <c r="E118" s="173" t="s">
        <v>148</v>
      </c>
      <c r="F118" s="56"/>
      <c r="G118" s="56"/>
      <c r="H118" s="56"/>
      <c r="I118" s="30"/>
    </row>
    <row r="119" spans="1:14" ht="12.75" customHeight="1" thickBot="1" x14ac:dyDescent="0.35">
      <c r="A119" s="166" t="s">
        <v>120</v>
      </c>
      <c r="C119" s="166"/>
      <c r="D119" s="166" t="s">
        <v>126</v>
      </c>
    </row>
    <row r="120" spans="1:14" ht="12.75" customHeight="1" x14ac:dyDescent="0.35">
      <c r="A120" s="80">
        <f t="shared" ref="A120:A193" si="4">MONTH(D120)</f>
        <v>2</v>
      </c>
      <c r="B120" s="42">
        <f t="shared" ref="B120:B193" si="5">YEAR(D120)</f>
        <v>2020</v>
      </c>
      <c r="C120" s="42" t="str">
        <f t="shared" si="2"/>
        <v/>
      </c>
      <c r="D120" s="52">
        <v>43882</v>
      </c>
      <c r="E120" s="73" t="s">
        <v>76</v>
      </c>
      <c r="F120" s="45"/>
      <c r="G120" s="45">
        <v>250</v>
      </c>
      <c r="H120" s="74">
        <f>G120</f>
        <v>250</v>
      </c>
      <c r="I120" s="33"/>
      <c r="J120" s="33"/>
      <c r="K120" s="33"/>
      <c r="L120" s="75"/>
    </row>
    <row r="121" spans="1:14" ht="12.75" customHeight="1" x14ac:dyDescent="0.35">
      <c r="A121" s="81">
        <f t="shared" si="4"/>
        <v>2</v>
      </c>
      <c r="B121" s="37">
        <f t="shared" si="5"/>
        <v>2020</v>
      </c>
      <c r="C121" s="37" t="str">
        <f t="shared" si="2"/>
        <v/>
      </c>
      <c r="D121" s="28">
        <v>43882</v>
      </c>
      <c r="E121" s="70" t="s">
        <v>77</v>
      </c>
      <c r="F121" s="36"/>
      <c r="G121" s="36">
        <f>250*2</f>
        <v>500</v>
      </c>
      <c r="H121" s="38">
        <f t="shared" ref="H121:H193" si="6">H120+G121-F121</f>
        <v>750</v>
      </c>
      <c r="J121" s="29"/>
      <c r="K121" s="29"/>
      <c r="L121" s="71"/>
      <c r="M121" s="36"/>
      <c r="N121" s="36"/>
    </row>
    <row r="122" spans="1:14" ht="12.75" customHeight="1" x14ac:dyDescent="0.35">
      <c r="A122" s="81">
        <f t="shared" si="4"/>
        <v>2</v>
      </c>
      <c r="B122" s="37">
        <f t="shared" si="5"/>
        <v>2020</v>
      </c>
      <c r="C122" s="37" t="str">
        <f t="shared" si="2"/>
        <v/>
      </c>
      <c r="D122" s="28">
        <v>43882</v>
      </c>
      <c r="E122" s="70" t="s">
        <v>49</v>
      </c>
      <c r="F122" s="36"/>
      <c r="G122" s="36">
        <v>1699</v>
      </c>
      <c r="H122" s="38">
        <f t="shared" si="6"/>
        <v>2449</v>
      </c>
    </row>
    <row r="123" spans="1:14" ht="12.75" customHeight="1" x14ac:dyDescent="0.35">
      <c r="A123" s="81">
        <f t="shared" si="4"/>
        <v>2</v>
      </c>
      <c r="B123" s="37">
        <f t="shared" si="5"/>
        <v>2020</v>
      </c>
      <c r="C123" s="37" t="str">
        <f t="shared" si="2"/>
        <v>Rent: 10</v>
      </c>
      <c r="D123" s="28">
        <v>43882</v>
      </c>
      <c r="E123" s="1" t="s">
        <v>78</v>
      </c>
      <c r="F123" s="36"/>
      <c r="G123" s="36">
        <v>509.67</v>
      </c>
      <c r="H123" s="38">
        <f t="shared" si="6"/>
        <v>2958.67</v>
      </c>
    </row>
    <row r="124" spans="1:14" ht="12.75" customHeight="1" x14ac:dyDescent="0.25">
      <c r="A124" s="81">
        <f t="shared" si="4"/>
        <v>3</v>
      </c>
      <c r="B124" s="37">
        <f t="shared" si="5"/>
        <v>2020</v>
      </c>
      <c r="C124" s="37" t="str">
        <f t="shared" si="2"/>
        <v>Rent: 1</v>
      </c>
      <c r="D124" s="40" t="str">
        <f>MONTH(D122)+1 &amp; "/1/" &amp; YEAR(D123)</f>
        <v>3/1/2020</v>
      </c>
      <c r="E124" s="39" t="str">
        <f>"Rent: "&amp;LOOKUP(A124-1, Months, TextMonths)&amp;" '"&amp;B124</f>
        <v>Rent: Mar '2020</v>
      </c>
      <c r="F124" s="36"/>
      <c r="G124" s="84">
        <v>1673.89</v>
      </c>
      <c r="H124" s="38">
        <f t="shared" si="6"/>
        <v>4632.5600000000004</v>
      </c>
    </row>
    <row r="125" spans="1:14" ht="12.75" customHeight="1" x14ac:dyDescent="0.25">
      <c r="A125" s="81">
        <f t="shared" si="4"/>
        <v>3</v>
      </c>
      <c r="B125" s="37">
        <f t="shared" si="5"/>
        <v>2020</v>
      </c>
      <c r="C125" s="37" t="str">
        <f t="shared" si="2"/>
        <v>Priv Tax: 1</v>
      </c>
      <c r="D125" s="40" t="str">
        <f>D124</f>
        <v>3/1/2020</v>
      </c>
      <c r="E125" s="39" t="s">
        <v>64</v>
      </c>
      <c r="F125" s="36"/>
      <c r="G125" s="84">
        <f>G124*0.015</f>
        <v>25.108350000000002</v>
      </c>
      <c r="H125" s="38">
        <f t="shared" si="6"/>
        <v>4657.6683500000008</v>
      </c>
    </row>
    <row r="126" spans="1:14" ht="12.75" customHeight="1" x14ac:dyDescent="0.35">
      <c r="A126" s="81">
        <f t="shared" si="4"/>
        <v>2</v>
      </c>
      <c r="B126" s="37">
        <f t="shared" si="5"/>
        <v>2020</v>
      </c>
      <c r="C126" s="37" t="str">
        <f t="shared" si="2"/>
        <v>Income: 1</v>
      </c>
      <c r="D126" s="41">
        <v>43882</v>
      </c>
      <c r="E126" s="1" t="s">
        <v>51</v>
      </c>
      <c r="F126" s="36">
        <v>4657.67</v>
      </c>
      <c r="G126" s="36"/>
      <c r="H126" s="38">
        <f t="shared" si="6"/>
        <v>-1.6499999992447556E-3</v>
      </c>
    </row>
    <row r="127" spans="1:14" ht="12.75" customHeight="1" x14ac:dyDescent="0.25">
      <c r="A127" s="81">
        <f t="shared" si="4"/>
        <v>4</v>
      </c>
      <c r="B127" s="37">
        <f t="shared" si="5"/>
        <v>2020</v>
      </c>
      <c r="C127" s="37" t="str">
        <f t="shared" si="2"/>
        <v>Rent: 1</v>
      </c>
      <c r="D127" s="40" t="str">
        <f>MONTH(D125)+1 &amp; "/1/" &amp; YEAR(D126)</f>
        <v>4/1/2020</v>
      </c>
      <c r="E127" s="39" t="str">
        <f>"Rent: "&amp;LOOKUP(A127-1, Months, TextMonths)&amp;" '"&amp;B127</f>
        <v>Rent: Apr '2020</v>
      </c>
      <c r="F127" s="36"/>
      <c r="G127" s="84">
        <v>1673.89</v>
      </c>
      <c r="H127" s="38">
        <f t="shared" si="6"/>
        <v>1673.8883500000009</v>
      </c>
    </row>
    <row r="128" spans="1:14" ht="12.75" customHeight="1" x14ac:dyDescent="0.25">
      <c r="A128" s="81">
        <f t="shared" si="4"/>
        <v>4</v>
      </c>
      <c r="B128" s="37">
        <f t="shared" si="5"/>
        <v>2020</v>
      </c>
      <c r="C128" s="37" t="str">
        <f t="shared" si="2"/>
        <v>Priv Tax: 1</v>
      </c>
      <c r="D128" s="40" t="str">
        <f>D127</f>
        <v>4/1/2020</v>
      </c>
      <c r="E128" s="39" t="s">
        <v>64</v>
      </c>
      <c r="F128" s="36"/>
      <c r="G128" s="84">
        <f>G127*0.015</f>
        <v>25.108350000000002</v>
      </c>
      <c r="H128" s="38">
        <f t="shared" si="6"/>
        <v>1698.9967000000008</v>
      </c>
    </row>
    <row r="129" spans="1:8" ht="12.75" customHeight="1" thickBot="1" x14ac:dyDescent="0.4">
      <c r="A129" s="82">
        <f t="shared" si="4"/>
        <v>3</v>
      </c>
      <c r="B129" s="47">
        <f t="shared" si="5"/>
        <v>2020</v>
      </c>
      <c r="C129" s="47" t="str">
        <f t="shared" si="2"/>
        <v>Income: 1</v>
      </c>
      <c r="D129" s="79">
        <v>43918</v>
      </c>
      <c r="E129" s="76" t="s">
        <v>51</v>
      </c>
      <c r="F129" s="50">
        <v>1699</v>
      </c>
      <c r="G129" s="50"/>
      <c r="H129" s="77">
        <f t="shared" si="6"/>
        <v>-3.2999999991716322E-3</v>
      </c>
    </row>
    <row r="130" spans="1:8" ht="12.75" customHeight="1" x14ac:dyDescent="0.25">
      <c r="A130" s="80">
        <f t="shared" si="4"/>
        <v>5</v>
      </c>
      <c r="B130" s="42">
        <f t="shared" si="5"/>
        <v>2020</v>
      </c>
      <c r="C130" s="42" t="str">
        <f t="shared" si="2"/>
        <v>Rent: 1</v>
      </c>
      <c r="D130" s="43" t="str">
        <f>MONTH(D128)+1 &amp; "/1/" &amp; YEAR(D129)</f>
        <v>5/1/2020</v>
      </c>
      <c r="E130" s="44" t="str">
        <f>"Rent: "&amp;LOOKUP(A130-1, Months, TextMonths)&amp;" '"&amp;B130</f>
        <v>Rent: May '2020</v>
      </c>
      <c r="F130" s="45"/>
      <c r="G130" s="83">
        <v>1673.89</v>
      </c>
      <c r="H130" s="74">
        <f t="shared" si="6"/>
        <v>1673.8867000000009</v>
      </c>
    </row>
    <row r="131" spans="1:8" ht="12.75" customHeight="1" x14ac:dyDescent="0.25">
      <c r="A131" s="81">
        <f t="shared" si="4"/>
        <v>5</v>
      </c>
      <c r="B131" s="37">
        <f t="shared" si="5"/>
        <v>2020</v>
      </c>
      <c r="C131" s="37" t="str">
        <f t="shared" si="2"/>
        <v>Priv Tax: 1</v>
      </c>
      <c r="D131" s="40" t="str">
        <f>D130</f>
        <v>5/1/2020</v>
      </c>
      <c r="E131" s="39" t="s">
        <v>64</v>
      </c>
      <c r="F131" s="36"/>
      <c r="G131" s="84">
        <f>G130*0.015</f>
        <v>25.108350000000002</v>
      </c>
      <c r="H131" s="38">
        <f t="shared" si="6"/>
        <v>1698.9950500000009</v>
      </c>
    </row>
    <row r="132" spans="1:8" ht="12.75" customHeight="1" x14ac:dyDescent="0.35">
      <c r="A132" s="81">
        <f t="shared" si="4"/>
        <v>4</v>
      </c>
      <c r="B132" s="37">
        <f t="shared" si="5"/>
        <v>2020</v>
      </c>
      <c r="C132" s="37" t="str">
        <f t="shared" si="2"/>
        <v>Income: 1</v>
      </c>
      <c r="D132" s="41">
        <v>43942</v>
      </c>
      <c r="E132" s="1" t="s">
        <v>51</v>
      </c>
      <c r="F132" s="36">
        <v>1699</v>
      </c>
      <c r="G132" s="36"/>
      <c r="H132" s="38">
        <f t="shared" si="6"/>
        <v>-4.9499999990985089E-3</v>
      </c>
    </row>
    <row r="133" spans="1:8" ht="12.75" customHeight="1" x14ac:dyDescent="0.25">
      <c r="A133" s="81">
        <f t="shared" si="4"/>
        <v>6</v>
      </c>
      <c r="B133" s="37">
        <f t="shared" si="5"/>
        <v>2020</v>
      </c>
      <c r="C133" s="37" t="str">
        <f t="shared" si="2"/>
        <v>Rent: 1</v>
      </c>
      <c r="D133" s="40" t="str">
        <f>MONTH(D131)+1 &amp; "/1/" &amp; YEAR(D132)</f>
        <v>6/1/2020</v>
      </c>
      <c r="E133" s="39" t="str">
        <f>"Rent: "&amp;LOOKUP(A133-1, Months, TextMonths)&amp;" '"&amp;B133</f>
        <v>Rent: Jun '2020</v>
      </c>
      <c r="F133" s="36"/>
      <c r="G133" s="84">
        <v>1673.89</v>
      </c>
      <c r="H133" s="38">
        <f t="shared" si="6"/>
        <v>1673.885050000001</v>
      </c>
    </row>
    <row r="134" spans="1:8" ht="12.75" customHeight="1" x14ac:dyDescent="0.25">
      <c r="A134" s="81">
        <f t="shared" si="4"/>
        <v>6</v>
      </c>
      <c r="B134" s="37">
        <f t="shared" si="5"/>
        <v>2020</v>
      </c>
      <c r="C134" s="37" t="str">
        <f t="shared" si="2"/>
        <v>Priv Tax: 1</v>
      </c>
      <c r="D134" s="40" t="str">
        <f>D133</f>
        <v>6/1/2020</v>
      </c>
      <c r="E134" s="39" t="s">
        <v>64</v>
      </c>
      <c r="F134" s="36"/>
      <c r="G134" s="84">
        <v>25.111000000000001</v>
      </c>
      <c r="H134" s="38">
        <f t="shared" si="6"/>
        <v>1698.9960500000011</v>
      </c>
    </row>
    <row r="135" spans="1:8" ht="12.75" customHeight="1" x14ac:dyDescent="0.35">
      <c r="A135" s="81">
        <f t="shared" si="4"/>
        <v>5</v>
      </c>
      <c r="B135" s="37">
        <f t="shared" si="5"/>
        <v>2020</v>
      </c>
      <c r="C135" s="37" t="str">
        <f t="shared" si="2"/>
        <v>Income: 1</v>
      </c>
      <c r="D135" s="41">
        <v>43971</v>
      </c>
      <c r="E135" s="1" t="s">
        <v>51</v>
      </c>
      <c r="F135" s="36">
        <v>1699</v>
      </c>
      <c r="G135" s="36"/>
      <c r="H135" s="38">
        <f t="shared" si="6"/>
        <v>-3.949999998894782E-3</v>
      </c>
    </row>
    <row r="136" spans="1:8" ht="12.75" customHeight="1" x14ac:dyDescent="0.25">
      <c r="A136" s="81">
        <f t="shared" si="4"/>
        <v>7</v>
      </c>
      <c r="B136" s="37">
        <f t="shared" si="5"/>
        <v>2020</v>
      </c>
      <c r="C136" s="37" t="str">
        <f t="shared" si="2"/>
        <v>Rent: 1</v>
      </c>
      <c r="D136" s="40" t="str">
        <f>MONTH(D134)+1 &amp; "/1/" &amp; YEAR(D135)</f>
        <v>7/1/2020</v>
      </c>
      <c r="E136" s="39" t="str">
        <f>"Rent: "&amp;LOOKUP(A136-1, Months, TextMonths)&amp;" '"&amp;B136</f>
        <v>Rent: Jul '2020</v>
      </c>
      <c r="F136" s="36"/>
      <c r="G136" s="84">
        <v>1673.89</v>
      </c>
      <c r="H136" s="38">
        <f t="shared" si="6"/>
        <v>1673.8860500000012</v>
      </c>
    </row>
    <row r="137" spans="1:8" ht="12.75" customHeight="1" x14ac:dyDescent="0.25">
      <c r="A137" s="81">
        <f t="shared" si="4"/>
        <v>7</v>
      </c>
      <c r="B137" s="37">
        <f t="shared" si="5"/>
        <v>2020</v>
      </c>
      <c r="C137" s="37" t="str">
        <f t="shared" si="2"/>
        <v>Priv Tax: 1</v>
      </c>
      <c r="D137" s="40" t="str">
        <f>D136</f>
        <v>7/1/2020</v>
      </c>
      <c r="E137" s="39" t="s">
        <v>64</v>
      </c>
      <c r="F137" s="36"/>
      <c r="G137" s="84">
        <v>25.111000000000001</v>
      </c>
      <c r="H137" s="38">
        <f t="shared" si="6"/>
        <v>1698.9970500000013</v>
      </c>
    </row>
    <row r="138" spans="1:8" ht="12.75" customHeight="1" thickBot="1" x14ac:dyDescent="0.4">
      <c r="A138" s="82">
        <f t="shared" si="4"/>
        <v>6</v>
      </c>
      <c r="B138" s="47">
        <f t="shared" si="5"/>
        <v>2020</v>
      </c>
      <c r="C138" s="47" t="str">
        <f t="shared" si="2"/>
        <v>Income: 1</v>
      </c>
      <c r="D138" s="79">
        <v>44012</v>
      </c>
      <c r="E138" s="76" t="s">
        <v>51</v>
      </c>
      <c r="F138" s="50">
        <v>1699</v>
      </c>
      <c r="G138" s="50"/>
      <c r="H138" s="77">
        <f t="shared" si="6"/>
        <v>-2.9499999986910552E-3</v>
      </c>
    </row>
    <row r="139" spans="1:8" ht="12.75" customHeight="1" x14ac:dyDescent="0.25">
      <c r="A139" s="80">
        <f t="shared" si="4"/>
        <v>8</v>
      </c>
      <c r="B139" s="42">
        <f t="shared" si="5"/>
        <v>2020</v>
      </c>
      <c r="C139" s="42" t="str">
        <f t="shared" si="2"/>
        <v>Rent: 1</v>
      </c>
      <c r="D139" s="43" t="str">
        <f>MONTH(D137)+1 &amp; "/1/" &amp; YEAR(D138)</f>
        <v>8/1/2020</v>
      </c>
      <c r="E139" s="44" t="str">
        <f>"Rent: "&amp;LOOKUP(A139-1, Months, TextMonths)&amp;" '"&amp;B139</f>
        <v>Rent: Aug '2020</v>
      </c>
      <c r="F139" s="45"/>
      <c r="G139" s="83">
        <v>1668.96</v>
      </c>
      <c r="H139" s="74">
        <f t="shared" si="6"/>
        <v>1668.9570500000013</v>
      </c>
    </row>
    <row r="140" spans="1:8" ht="12.75" customHeight="1" x14ac:dyDescent="0.25">
      <c r="A140" s="81">
        <f t="shared" si="4"/>
        <v>8</v>
      </c>
      <c r="B140" s="37">
        <f t="shared" si="5"/>
        <v>2020</v>
      </c>
      <c r="C140" s="37" t="str">
        <f t="shared" si="2"/>
        <v>Priv Tax: 1</v>
      </c>
      <c r="D140" s="40" t="str">
        <f>D139</f>
        <v>8/1/2020</v>
      </c>
      <c r="E140" s="39" t="s">
        <v>64</v>
      </c>
      <c r="F140" s="36"/>
      <c r="G140" s="84">
        <v>30.04</v>
      </c>
      <c r="H140" s="38">
        <f t="shared" si="6"/>
        <v>1698.9970500000013</v>
      </c>
    </row>
    <row r="141" spans="1:8" ht="12.75" customHeight="1" x14ac:dyDescent="0.35">
      <c r="A141" s="81">
        <f t="shared" si="4"/>
        <v>7</v>
      </c>
      <c r="B141" s="37">
        <f t="shared" si="5"/>
        <v>2020</v>
      </c>
      <c r="C141" s="37" t="str">
        <f t="shared" si="2"/>
        <v>Income: 1</v>
      </c>
      <c r="D141" s="41">
        <v>44042</v>
      </c>
      <c r="E141" s="1" t="s">
        <v>51</v>
      </c>
      <c r="F141" s="36">
        <v>1699</v>
      </c>
      <c r="G141" s="36"/>
      <c r="H141" s="38">
        <f t="shared" si="6"/>
        <v>-2.9499999986910552E-3</v>
      </c>
    </row>
    <row r="142" spans="1:8" ht="12.75" customHeight="1" x14ac:dyDescent="0.25">
      <c r="A142" s="81">
        <f t="shared" si="4"/>
        <v>9</v>
      </c>
      <c r="B142" s="37">
        <f t="shared" si="5"/>
        <v>2020</v>
      </c>
      <c r="C142" s="37" t="str">
        <f t="shared" si="2"/>
        <v>Rent: 1</v>
      </c>
      <c r="D142" s="40" t="str">
        <f>MONTH(D140)+1 &amp; "/1/" &amp; YEAR(D141)</f>
        <v>9/1/2020</v>
      </c>
      <c r="E142" s="39" t="str">
        <f>"Rent: "&amp;LOOKUP(A142-1, Months, TextMonths)&amp;" '"&amp;B142</f>
        <v>Rent: Sep '2020</v>
      </c>
      <c r="F142" s="36"/>
      <c r="G142" s="84">
        <v>1668.96</v>
      </c>
      <c r="H142" s="38">
        <f t="shared" si="6"/>
        <v>1668.9570500000013</v>
      </c>
    </row>
    <row r="143" spans="1:8" ht="12.75" customHeight="1" x14ac:dyDescent="0.25">
      <c r="A143" s="81">
        <f t="shared" si="4"/>
        <v>9</v>
      </c>
      <c r="B143" s="37">
        <f t="shared" si="5"/>
        <v>2020</v>
      </c>
      <c r="C143" s="37" t="str">
        <f t="shared" si="2"/>
        <v>Priv Tax: 1</v>
      </c>
      <c r="D143" s="40" t="str">
        <f>D142</f>
        <v>9/1/2020</v>
      </c>
      <c r="E143" s="39" t="s">
        <v>64</v>
      </c>
      <c r="F143" s="36"/>
      <c r="G143" s="84">
        <v>30.04</v>
      </c>
      <c r="H143" s="38">
        <f t="shared" si="6"/>
        <v>1698.9970500000013</v>
      </c>
    </row>
    <row r="144" spans="1:8" ht="12.75" customHeight="1" x14ac:dyDescent="0.35">
      <c r="A144" s="81">
        <f t="shared" si="4"/>
        <v>8</v>
      </c>
      <c r="B144" s="37">
        <f t="shared" si="5"/>
        <v>2020</v>
      </c>
      <c r="C144" s="37" t="str">
        <f t="shared" si="2"/>
        <v>Income: 1</v>
      </c>
      <c r="D144" s="41">
        <v>44069</v>
      </c>
      <c r="E144" s="1" t="s">
        <v>51</v>
      </c>
      <c r="F144" s="36">
        <v>1699</v>
      </c>
      <c r="G144" s="36"/>
      <c r="H144" s="38">
        <f t="shared" si="6"/>
        <v>-2.9499999986910552E-3</v>
      </c>
    </row>
    <row r="145" spans="1:8" ht="12.75" customHeight="1" x14ac:dyDescent="0.25">
      <c r="A145" s="81">
        <f t="shared" si="4"/>
        <v>10</v>
      </c>
      <c r="B145" s="37">
        <f t="shared" si="5"/>
        <v>2020</v>
      </c>
      <c r="C145" s="37" t="str">
        <f t="shared" si="2"/>
        <v>Rent: 1</v>
      </c>
      <c r="D145" s="40" t="str">
        <f>MONTH(D143)+1 &amp; "/1/" &amp; YEAR(D144)</f>
        <v>10/1/2020</v>
      </c>
      <c r="E145" s="39" t="str">
        <f>"Rent: "&amp;LOOKUP(A145-1, Months, TextMonths)&amp;" '"&amp;B145</f>
        <v>Rent: Oct '2020</v>
      </c>
      <c r="F145" s="36"/>
      <c r="G145" s="84">
        <v>1668.96</v>
      </c>
      <c r="H145" s="38">
        <f t="shared" si="6"/>
        <v>1668.9570500000013</v>
      </c>
    </row>
    <row r="146" spans="1:8" ht="12.75" customHeight="1" x14ac:dyDescent="0.25">
      <c r="A146" s="81">
        <f t="shared" si="4"/>
        <v>10</v>
      </c>
      <c r="B146" s="37">
        <f t="shared" si="5"/>
        <v>2020</v>
      </c>
      <c r="C146" s="37" t="str">
        <f t="shared" si="2"/>
        <v>Priv Tax: 1</v>
      </c>
      <c r="D146" s="40" t="str">
        <f>D145</f>
        <v>10/1/2020</v>
      </c>
      <c r="E146" s="39" t="s">
        <v>64</v>
      </c>
      <c r="F146" s="36"/>
      <c r="G146" s="84">
        <v>30.04</v>
      </c>
      <c r="H146" s="38">
        <f t="shared" si="6"/>
        <v>1698.9970500000013</v>
      </c>
    </row>
    <row r="147" spans="1:8" ht="12.75" customHeight="1" thickBot="1" x14ac:dyDescent="0.4">
      <c r="A147" s="82">
        <f t="shared" si="4"/>
        <v>9</v>
      </c>
      <c r="B147" s="47">
        <f t="shared" si="5"/>
        <v>2020</v>
      </c>
      <c r="C147" s="47" t="str">
        <f t="shared" si="2"/>
        <v>Income: 1</v>
      </c>
      <c r="D147" s="79">
        <v>44097</v>
      </c>
      <c r="E147" s="76" t="s">
        <v>51</v>
      </c>
      <c r="F147" s="50">
        <v>1699</v>
      </c>
      <c r="G147" s="50"/>
      <c r="H147" s="77">
        <f t="shared" si="6"/>
        <v>-2.9499999986910552E-3</v>
      </c>
    </row>
    <row r="148" spans="1:8" ht="12.75" customHeight="1" x14ac:dyDescent="0.25">
      <c r="A148" s="80">
        <f t="shared" si="4"/>
        <v>11</v>
      </c>
      <c r="B148" s="42">
        <f t="shared" si="5"/>
        <v>2020</v>
      </c>
      <c r="C148" s="42" t="str">
        <f t="shared" si="2"/>
        <v>Rent: 1</v>
      </c>
      <c r="D148" s="43" t="str">
        <f>MONTH(D146)+1 &amp; "/1/" &amp; YEAR(D147)</f>
        <v>11/1/2020</v>
      </c>
      <c r="E148" s="44" t="str">
        <f>"Rent: "&amp;LOOKUP(A148-1, Months, TextMonths)&amp;" '"&amp;B148</f>
        <v>Rent: Nov '2020</v>
      </c>
      <c r="F148" s="45"/>
      <c r="G148" s="83">
        <v>1668.96</v>
      </c>
      <c r="H148" s="74">
        <f t="shared" si="6"/>
        <v>1668.9570500000013</v>
      </c>
    </row>
    <row r="149" spans="1:8" ht="12.75" customHeight="1" x14ac:dyDescent="0.25">
      <c r="A149" s="81">
        <f t="shared" si="4"/>
        <v>11</v>
      </c>
      <c r="B149" s="37">
        <f t="shared" si="5"/>
        <v>2020</v>
      </c>
      <c r="C149" s="37" t="str">
        <f t="shared" si="2"/>
        <v>Priv Tax: 1</v>
      </c>
      <c r="D149" s="40" t="str">
        <f>D148</f>
        <v>11/1/2020</v>
      </c>
      <c r="E149" s="39" t="s">
        <v>64</v>
      </c>
      <c r="F149" s="36"/>
      <c r="G149" s="84">
        <v>30.04</v>
      </c>
      <c r="H149" s="38">
        <f t="shared" si="6"/>
        <v>1698.9970500000013</v>
      </c>
    </row>
    <row r="150" spans="1:8" ht="12.75" customHeight="1" x14ac:dyDescent="0.35">
      <c r="A150" s="81">
        <f t="shared" si="4"/>
        <v>11</v>
      </c>
      <c r="B150" s="37">
        <f t="shared" si="5"/>
        <v>2020</v>
      </c>
      <c r="C150" s="37" t="str">
        <f t="shared" si="2"/>
        <v>Income: 1</v>
      </c>
      <c r="D150" s="41">
        <v>44137</v>
      </c>
      <c r="E150" s="1" t="s">
        <v>51</v>
      </c>
      <c r="F150" s="36">
        <v>1699</v>
      </c>
      <c r="G150" s="36"/>
      <c r="H150" s="38">
        <f t="shared" si="6"/>
        <v>-2.9499999986910552E-3</v>
      </c>
    </row>
    <row r="151" spans="1:8" ht="12.75" customHeight="1" x14ac:dyDescent="0.25">
      <c r="A151" s="81">
        <f t="shared" si="4"/>
        <v>12</v>
      </c>
      <c r="B151" s="37">
        <f t="shared" si="5"/>
        <v>2020</v>
      </c>
      <c r="C151" s="37" t="str">
        <f t="shared" si="2"/>
        <v>Rent: 1</v>
      </c>
      <c r="D151" s="40" t="str">
        <f>MONTH(D149)+1 &amp; "/1/" &amp; YEAR(D150)</f>
        <v>12/1/2020</v>
      </c>
      <c r="E151" s="39" t="str">
        <f>"Rent: "&amp;LOOKUP(A151-1, Months, TextMonths)&amp;" '"&amp;B151</f>
        <v>Rent: Dec '2020</v>
      </c>
      <c r="F151" s="36"/>
      <c r="G151" s="84">
        <v>1668.96</v>
      </c>
      <c r="H151" s="38">
        <f t="shared" si="6"/>
        <v>1668.9570500000013</v>
      </c>
    </row>
    <row r="152" spans="1:8" ht="12.75" customHeight="1" x14ac:dyDescent="0.25">
      <c r="A152" s="81">
        <f t="shared" si="4"/>
        <v>12</v>
      </c>
      <c r="B152" s="37">
        <f t="shared" si="5"/>
        <v>2020</v>
      </c>
      <c r="C152" s="37" t="str">
        <f t="shared" si="2"/>
        <v>Priv Tax: 1</v>
      </c>
      <c r="D152" s="40" t="str">
        <f>D151</f>
        <v>12/1/2020</v>
      </c>
      <c r="E152" s="39" t="s">
        <v>64</v>
      </c>
      <c r="F152" s="36"/>
      <c r="G152" s="84">
        <v>30.04</v>
      </c>
      <c r="H152" s="38">
        <f t="shared" si="6"/>
        <v>1698.9970500000013</v>
      </c>
    </row>
    <row r="153" spans="1:8" ht="12.75" customHeight="1" x14ac:dyDescent="0.35">
      <c r="A153" s="81">
        <f t="shared" si="4"/>
        <v>11</v>
      </c>
      <c r="B153" s="37">
        <f t="shared" si="5"/>
        <v>2020</v>
      </c>
      <c r="C153" s="37" t="str">
        <f t="shared" si="2"/>
        <v>Income: 1</v>
      </c>
      <c r="D153" s="41">
        <v>44164</v>
      </c>
      <c r="E153" s="1" t="s">
        <v>51</v>
      </c>
      <c r="F153" s="36">
        <v>1699</v>
      </c>
      <c r="G153" s="36"/>
      <c r="H153" s="38">
        <f t="shared" si="6"/>
        <v>-2.9499999986910552E-3</v>
      </c>
    </row>
    <row r="154" spans="1:8" ht="12.75" customHeight="1" x14ac:dyDescent="0.25">
      <c r="A154" s="81">
        <f t="shared" si="4"/>
        <v>1</v>
      </c>
      <c r="B154" s="37">
        <f t="shared" si="5"/>
        <v>2021</v>
      </c>
      <c r="C154" s="37" t="str">
        <f t="shared" si="2"/>
        <v>Rent: 1</v>
      </c>
      <c r="D154" s="40">
        <v>44197</v>
      </c>
      <c r="E154" s="39" t="str">
        <f>"Rent: "&amp;LOOKUP(A154-1, Months, TextMonths)&amp;" '"&amp;B154</f>
        <v>Rent: Jan '2021</v>
      </c>
      <c r="F154" s="36"/>
      <c r="G154" s="84">
        <v>1668.96</v>
      </c>
      <c r="H154" s="38">
        <f t="shared" si="6"/>
        <v>1668.9570500000013</v>
      </c>
    </row>
    <row r="155" spans="1:8" ht="12.75" customHeight="1" x14ac:dyDescent="0.25">
      <c r="A155" s="81">
        <f t="shared" si="4"/>
        <v>1</v>
      </c>
      <c r="B155" s="37">
        <f t="shared" si="5"/>
        <v>2021</v>
      </c>
      <c r="C155" s="37" t="str">
        <f t="shared" si="2"/>
        <v>Priv Tax: 1</v>
      </c>
      <c r="D155" s="40">
        <f>D154</f>
        <v>44197</v>
      </c>
      <c r="E155" s="39" t="s">
        <v>64</v>
      </c>
      <c r="F155" s="36"/>
      <c r="G155" s="84">
        <v>30.04</v>
      </c>
      <c r="H155" s="38">
        <f t="shared" si="6"/>
        <v>1698.9970500000013</v>
      </c>
    </row>
    <row r="156" spans="1:8" ht="12.75" customHeight="1" thickBot="1" x14ac:dyDescent="0.4">
      <c r="A156" s="82">
        <f t="shared" si="4"/>
        <v>12</v>
      </c>
      <c r="B156" s="47">
        <f t="shared" si="5"/>
        <v>2020</v>
      </c>
      <c r="C156" s="47" t="str">
        <f t="shared" si="2"/>
        <v>Income: 1</v>
      </c>
      <c r="D156" s="79">
        <v>44195</v>
      </c>
      <c r="E156" s="76" t="s">
        <v>51</v>
      </c>
      <c r="F156" s="50">
        <v>1699</v>
      </c>
      <c r="G156" s="50"/>
      <c r="H156" s="77">
        <f t="shared" si="6"/>
        <v>-2.9499999986910552E-3</v>
      </c>
    </row>
    <row r="157" spans="1:8" ht="12.75" customHeight="1" x14ac:dyDescent="0.25">
      <c r="A157" s="80">
        <f t="shared" si="4"/>
        <v>2</v>
      </c>
      <c r="B157" s="42">
        <f t="shared" si="5"/>
        <v>2020</v>
      </c>
      <c r="C157" s="42" t="str">
        <f t="shared" si="2"/>
        <v>Rent: 1</v>
      </c>
      <c r="D157" s="43" t="str">
        <f>MONTH(D155)+1 &amp; "/1/" &amp; YEAR(D156)</f>
        <v>2/1/2020</v>
      </c>
      <c r="E157" s="44" t="str">
        <f>"Rent: "&amp;LOOKUP(A157-1, Months, TextMonths)&amp;" '"&amp;B157</f>
        <v>Rent: Feb '2020</v>
      </c>
      <c r="F157" s="45"/>
      <c r="G157" s="83">
        <v>1668.96</v>
      </c>
      <c r="H157" s="74">
        <f t="shared" si="6"/>
        <v>1668.9570500000013</v>
      </c>
    </row>
    <row r="158" spans="1:8" ht="12.75" customHeight="1" x14ac:dyDescent="0.25">
      <c r="A158" s="81">
        <f t="shared" si="4"/>
        <v>2</v>
      </c>
      <c r="B158" s="37">
        <f t="shared" si="5"/>
        <v>2020</v>
      </c>
      <c r="C158" s="37" t="str">
        <f t="shared" si="2"/>
        <v>Priv Tax: 1</v>
      </c>
      <c r="D158" s="40" t="str">
        <f>D157</f>
        <v>2/1/2020</v>
      </c>
      <c r="E158" s="39" t="s">
        <v>64</v>
      </c>
      <c r="F158" s="36"/>
      <c r="G158" s="84">
        <v>30.04</v>
      </c>
      <c r="H158" s="38">
        <f t="shared" si="6"/>
        <v>1698.9970500000013</v>
      </c>
    </row>
    <row r="159" spans="1:8" ht="12.75" customHeight="1" x14ac:dyDescent="0.35">
      <c r="A159" s="81">
        <f t="shared" si="4"/>
        <v>2</v>
      </c>
      <c r="B159" s="37">
        <f t="shared" si="5"/>
        <v>2021</v>
      </c>
      <c r="C159" s="37" t="str">
        <f t="shared" si="2"/>
        <v>Income: 1</v>
      </c>
      <c r="D159" s="41">
        <v>44228</v>
      </c>
      <c r="E159" s="1" t="s">
        <v>51</v>
      </c>
      <c r="F159" s="36">
        <v>1699</v>
      </c>
      <c r="G159" s="36"/>
      <c r="H159" s="38">
        <f t="shared" si="6"/>
        <v>-2.9499999986910552E-3</v>
      </c>
    </row>
    <row r="160" spans="1:8" ht="12.75" customHeight="1" x14ac:dyDescent="0.25">
      <c r="A160" s="81">
        <f t="shared" si="4"/>
        <v>3</v>
      </c>
      <c r="B160" s="37">
        <f t="shared" si="5"/>
        <v>2021</v>
      </c>
      <c r="C160" s="37" t="str">
        <f t="shared" si="2"/>
        <v>Rent: 1</v>
      </c>
      <c r="D160" s="40" t="str">
        <f>MONTH(D158)+1 &amp; "/1/" &amp; YEAR(D159)</f>
        <v>3/1/2021</v>
      </c>
      <c r="E160" s="39" t="str">
        <f>"Rent: "&amp;LOOKUP(A160-1, Months, TextMonths)&amp;" '"&amp;B160</f>
        <v>Rent: Mar '2021</v>
      </c>
      <c r="F160" s="36"/>
      <c r="G160" s="84">
        <v>1668.96</v>
      </c>
      <c r="H160" s="38">
        <f t="shared" si="6"/>
        <v>1668.9570500000013</v>
      </c>
    </row>
    <row r="161" spans="1:8" ht="12.75" customHeight="1" x14ac:dyDescent="0.25">
      <c r="A161" s="81">
        <f t="shared" si="4"/>
        <v>3</v>
      </c>
      <c r="B161" s="37">
        <f t="shared" si="5"/>
        <v>2021</v>
      </c>
      <c r="C161" s="37" t="str">
        <f t="shared" si="2"/>
        <v>Priv Tax: 1</v>
      </c>
      <c r="D161" s="40" t="str">
        <f>D160</f>
        <v>3/1/2021</v>
      </c>
      <c r="E161" s="39" t="s">
        <v>64</v>
      </c>
      <c r="F161" s="36"/>
      <c r="G161" s="84">
        <v>30.04</v>
      </c>
      <c r="H161" s="38">
        <f t="shared" si="6"/>
        <v>1698.9970500000013</v>
      </c>
    </row>
    <row r="162" spans="1:8" ht="12.75" customHeight="1" x14ac:dyDescent="0.35">
      <c r="A162" s="81">
        <f t="shared" si="4"/>
        <v>2</v>
      </c>
      <c r="B162" s="37">
        <f t="shared" si="5"/>
        <v>2021</v>
      </c>
      <c r="C162" s="37" t="str">
        <f t="shared" si="2"/>
        <v>Income: 1</v>
      </c>
      <c r="D162" s="41">
        <v>44255</v>
      </c>
      <c r="E162" s="1" t="s">
        <v>51</v>
      </c>
      <c r="F162" s="36">
        <v>1699</v>
      </c>
      <c r="G162" s="36"/>
      <c r="H162" s="38">
        <f t="shared" si="6"/>
        <v>-2.9499999986910552E-3</v>
      </c>
    </row>
    <row r="163" spans="1:8" ht="12.75" customHeight="1" x14ac:dyDescent="0.25">
      <c r="A163" s="81">
        <f t="shared" si="4"/>
        <v>4</v>
      </c>
      <c r="B163" s="37">
        <f t="shared" si="5"/>
        <v>2021</v>
      </c>
      <c r="C163" s="37" t="str">
        <f t="shared" si="2"/>
        <v>Rent: 1</v>
      </c>
      <c r="D163" s="40" t="str">
        <f>MONTH(D161)+1 &amp; "/1/" &amp; YEAR(D162)</f>
        <v>4/1/2021</v>
      </c>
      <c r="E163" s="39" t="str">
        <f>"Rent: "&amp;LOOKUP(A163-1, Months, TextMonths)&amp;" '"&amp;B163</f>
        <v>Rent: Apr '2021</v>
      </c>
      <c r="F163" s="36"/>
      <c r="G163" s="84">
        <v>1668.96</v>
      </c>
      <c r="H163" s="38">
        <f t="shared" si="6"/>
        <v>1668.9570500000013</v>
      </c>
    </row>
    <row r="164" spans="1:8" ht="12.75" customHeight="1" x14ac:dyDescent="0.25">
      <c r="A164" s="81">
        <f t="shared" si="4"/>
        <v>4</v>
      </c>
      <c r="B164" s="37">
        <f t="shared" si="5"/>
        <v>2021</v>
      </c>
      <c r="C164" s="37" t="str">
        <f t="shared" si="2"/>
        <v>Priv Tax: 1</v>
      </c>
      <c r="D164" s="40" t="str">
        <f>D163</f>
        <v>4/1/2021</v>
      </c>
      <c r="E164" s="39" t="s">
        <v>64</v>
      </c>
      <c r="F164" s="36"/>
      <c r="G164" s="84">
        <v>30.04</v>
      </c>
      <c r="H164" s="38">
        <f t="shared" si="6"/>
        <v>1698.9970500000013</v>
      </c>
    </row>
    <row r="165" spans="1:8" ht="12.75" customHeight="1" thickBot="1" x14ac:dyDescent="0.4">
      <c r="A165" s="82">
        <f t="shared" si="4"/>
        <v>3</v>
      </c>
      <c r="B165" s="47">
        <f t="shared" si="5"/>
        <v>2021</v>
      </c>
      <c r="C165" s="47" t="str">
        <f t="shared" si="2"/>
        <v>Income: 1</v>
      </c>
      <c r="D165" s="79">
        <v>44279</v>
      </c>
      <c r="E165" s="76" t="s">
        <v>51</v>
      </c>
      <c r="F165" s="50">
        <v>1699</v>
      </c>
      <c r="G165" s="50"/>
      <c r="H165" s="77">
        <f t="shared" si="6"/>
        <v>-2.9499999986910552E-3</v>
      </c>
    </row>
    <row r="166" spans="1:8" ht="12.75" customHeight="1" x14ac:dyDescent="0.25">
      <c r="A166" s="80">
        <f t="shared" si="4"/>
        <v>5</v>
      </c>
      <c r="B166" s="42">
        <f t="shared" si="5"/>
        <v>2021</v>
      </c>
      <c r="C166" s="42" t="str">
        <f t="shared" si="2"/>
        <v>Rent: 1</v>
      </c>
      <c r="D166" s="43" t="str">
        <f>MONTH(D164)+1 &amp; "/1/" &amp; YEAR(D165)</f>
        <v>5/1/2021</v>
      </c>
      <c r="E166" s="44" t="str">
        <f>"Rent: "&amp;LOOKUP(A166-1, Months, TextMonths)&amp;" '"&amp;B166</f>
        <v>Rent: May '2021</v>
      </c>
      <c r="F166" s="45"/>
      <c r="G166" s="83">
        <v>1699</v>
      </c>
      <c r="H166" s="74">
        <f t="shared" si="6"/>
        <v>1698.9970500000013</v>
      </c>
    </row>
    <row r="167" spans="1:8" ht="12.75" customHeight="1" x14ac:dyDescent="0.35">
      <c r="A167" s="81">
        <f t="shared" si="4"/>
        <v>4</v>
      </c>
      <c r="B167" s="37">
        <f t="shared" si="5"/>
        <v>2021</v>
      </c>
      <c r="C167" s="37" t="str">
        <f t="shared" si="2"/>
        <v>Income: 1</v>
      </c>
      <c r="D167" s="41">
        <v>44309</v>
      </c>
      <c r="E167" s="1" t="s">
        <v>51</v>
      </c>
      <c r="F167" s="36">
        <v>1699</v>
      </c>
      <c r="G167" s="36"/>
      <c r="H167" s="38">
        <f t="shared" si="6"/>
        <v>-2.9499999986910552E-3</v>
      </c>
    </row>
    <row r="168" spans="1:8" ht="12.75" customHeight="1" x14ac:dyDescent="0.25">
      <c r="A168" s="81">
        <f t="shared" si="4"/>
        <v>6</v>
      </c>
      <c r="B168" s="37">
        <f t="shared" si="5"/>
        <v>2021</v>
      </c>
      <c r="C168" s="37" t="str">
        <f t="shared" si="2"/>
        <v>Rent: 1</v>
      </c>
      <c r="D168" s="40" t="str">
        <f>MONTH(D166)+1 &amp; "/1/" &amp; YEAR(D167)</f>
        <v>6/1/2021</v>
      </c>
      <c r="E168" s="39" t="str">
        <f>"Rent: "&amp;LOOKUP(A168-1, Months, TextMonths)&amp;" '"&amp;B168</f>
        <v>Rent: Jun '2021</v>
      </c>
      <c r="F168" s="36"/>
      <c r="G168" s="84">
        <v>1699</v>
      </c>
      <c r="H168" s="38">
        <f t="shared" si="6"/>
        <v>1698.9970500000013</v>
      </c>
    </row>
    <row r="169" spans="1:8" ht="12.75" customHeight="1" x14ac:dyDescent="0.35">
      <c r="A169" s="81">
        <f t="shared" si="4"/>
        <v>6</v>
      </c>
      <c r="B169" s="37">
        <f t="shared" si="5"/>
        <v>2021</v>
      </c>
      <c r="C169" s="37" t="str">
        <f t="shared" si="2"/>
        <v>Income: 1</v>
      </c>
      <c r="D169" s="41">
        <v>44348</v>
      </c>
      <c r="E169" s="1" t="s">
        <v>51</v>
      </c>
      <c r="F169" s="36">
        <v>1699</v>
      </c>
      <c r="G169" s="36"/>
      <c r="H169" s="38">
        <f t="shared" si="6"/>
        <v>-2.9499999986910552E-3</v>
      </c>
    </row>
    <row r="170" spans="1:8" ht="12.75" customHeight="1" x14ac:dyDescent="0.25">
      <c r="A170" s="81">
        <f t="shared" si="4"/>
        <v>7</v>
      </c>
      <c r="B170" s="37">
        <f t="shared" si="5"/>
        <v>2021</v>
      </c>
      <c r="C170" s="37" t="str">
        <f t="shared" si="2"/>
        <v>Rent: 1</v>
      </c>
      <c r="D170" s="40" t="str">
        <f>MONTH(D169)+1 &amp; "/1/" &amp; YEAR(D169)</f>
        <v>7/1/2021</v>
      </c>
      <c r="E170" s="39" t="str">
        <f>"Rent: "&amp;LOOKUP(A170-1, Months, TextMonths)&amp;" '"&amp;B170</f>
        <v>Rent: Jul '2021</v>
      </c>
      <c r="F170" s="36"/>
      <c r="G170" s="84">
        <v>1699</v>
      </c>
      <c r="H170" s="38">
        <f t="shared" si="6"/>
        <v>1698.9970500000013</v>
      </c>
    </row>
    <row r="171" spans="1:8" ht="12.75" customHeight="1" thickBot="1" x14ac:dyDescent="0.4">
      <c r="A171" s="82">
        <f t="shared" si="4"/>
        <v>7</v>
      </c>
      <c r="B171" s="47">
        <f t="shared" si="5"/>
        <v>2021</v>
      </c>
      <c r="C171" s="47" t="str">
        <f t="shared" si="2"/>
        <v>Income: 1</v>
      </c>
      <c r="D171" s="79">
        <v>44378</v>
      </c>
      <c r="E171" s="76" t="s">
        <v>51</v>
      </c>
      <c r="F171" s="50">
        <v>1699</v>
      </c>
      <c r="G171" s="50"/>
      <c r="H171" s="38">
        <f t="shared" si="6"/>
        <v>-2.9499999986910552E-3</v>
      </c>
    </row>
    <row r="172" spans="1:8" ht="12.75" customHeight="1" x14ac:dyDescent="0.25">
      <c r="A172" s="80">
        <f t="shared" si="4"/>
        <v>8</v>
      </c>
      <c r="B172" s="42">
        <f t="shared" si="5"/>
        <v>2021</v>
      </c>
      <c r="C172" s="42" t="str">
        <f t="shared" si="2"/>
        <v>Rent: 1</v>
      </c>
      <c r="D172" s="43" t="str">
        <f>MONTH(D170)+1 &amp; "/1/" &amp; YEAR(D171)</f>
        <v>8/1/2021</v>
      </c>
      <c r="E172" s="44" t="str">
        <f>"Rent: "&amp;LOOKUP(A172-1, Months, TextMonths)&amp;" '"&amp;B172</f>
        <v>Rent: Aug '2021</v>
      </c>
      <c r="F172" s="45"/>
      <c r="G172" s="83">
        <v>1699</v>
      </c>
      <c r="H172" s="74">
        <f t="shared" si="6"/>
        <v>1698.9970500000013</v>
      </c>
    </row>
    <row r="173" spans="1:8" ht="12.75" customHeight="1" x14ac:dyDescent="0.35">
      <c r="A173" s="81">
        <f t="shared" si="4"/>
        <v>8</v>
      </c>
      <c r="B173" s="37">
        <f t="shared" si="5"/>
        <v>2021</v>
      </c>
      <c r="C173" s="37" t="str">
        <f t="shared" si="2"/>
        <v>Income: 1</v>
      </c>
      <c r="D173" s="41">
        <v>44410</v>
      </c>
      <c r="E173" s="1" t="s">
        <v>51</v>
      </c>
      <c r="F173" s="36">
        <v>1699</v>
      </c>
      <c r="G173" s="36"/>
      <c r="H173" s="38">
        <f t="shared" si="6"/>
        <v>-2.9499999986910552E-3</v>
      </c>
    </row>
    <row r="174" spans="1:8" ht="12.75" customHeight="1" x14ac:dyDescent="0.25">
      <c r="A174" s="81">
        <f t="shared" si="4"/>
        <v>9</v>
      </c>
      <c r="B174" s="37">
        <f t="shared" si="5"/>
        <v>2021</v>
      </c>
      <c r="C174" s="37" t="str">
        <f t="shared" si="2"/>
        <v>Rent: 1</v>
      </c>
      <c r="D174" s="40" t="str">
        <f>MONTH(D173)+1 &amp; "/1/" &amp; YEAR(D173)</f>
        <v>9/1/2021</v>
      </c>
      <c r="E174" s="39" t="str">
        <f>"Rent: "&amp;LOOKUP(A174-1, Months, TextMonths)&amp;" '"&amp;B174</f>
        <v>Rent: Sep '2021</v>
      </c>
      <c r="F174" s="36"/>
      <c r="G174" s="84">
        <v>1975</v>
      </c>
      <c r="H174" s="38">
        <f t="shared" si="6"/>
        <v>1974.9970500000013</v>
      </c>
    </row>
    <row r="175" spans="1:8" ht="12.75" customHeight="1" thickBot="1" x14ac:dyDescent="0.4">
      <c r="A175" s="81">
        <f t="shared" si="4"/>
        <v>9</v>
      </c>
      <c r="B175" s="37">
        <f t="shared" si="5"/>
        <v>2021</v>
      </c>
      <c r="C175" s="37" t="str">
        <f t="shared" si="2"/>
        <v>Income: 1</v>
      </c>
      <c r="D175" s="41">
        <v>44447</v>
      </c>
      <c r="E175" s="1" t="s">
        <v>51</v>
      </c>
      <c r="F175" s="36">
        <v>1975</v>
      </c>
      <c r="G175" s="36"/>
      <c r="H175" s="38">
        <f t="shared" si="6"/>
        <v>-2.9499999986910552E-3</v>
      </c>
    </row>
    <row r="176" spans="1:8" ht="12.75" customHeight="1" x14ac:dyDescent="0.25">
      <c r="A176" s="80">
        <f t="shared" si="4"/>
        <v>10</v>
      </c>
      <c r="B176" s="42">
        <f t="shared" si="5"/>
        <v>2021</v>
      </c>
      <c r="C176" s="42" t="str">
        <f t="shared" si="2"/>
        <v>Rent: 1</v>
      </c>
      <c r="D176" s="43" t="str">
        <f>MONTH(D175)+1 &amp; "/1/" &amp; YEAR(D175)</f>
        <v>10/1/2021</v>
      </c>
      <c r="E176" s="44" t="str">
        <f>"Rent: "&amp;LOOKUP(A176-1, Months, TextMonths)&amp;" '"&amp;B176</f>
        <v>Rent: Oct '2021</v>
      </c>
      <c r="F176" s="45"/>
      <c r="G176" s="83">
        <v>1975</v>
      </c>
      <c r="H176" s="74">
        <f t="shared" si="6"/>
        <v>1974.9970500000013</v>
      </c>
    </row>
    <row r="177" spans="1:8" ht="12.75" customHeight="1" x14ac:dyDescent="0.35">
      <c r="A177" s="81">
        <f t="shared" si="4"/>
        <v>10</v>
      </c>
      <c r="B177" s="37">
        <f t="shared" si="5"/>
        <v>2021</v>
      </c>
      <c r="C177" s="37" t="str">
        <f t="shared" si="2"/>
        <v>Income: 1</v>
      </c>
      <c r="D177" s="41">
        <v>44470</v>
      </c>
      <c r="E177" s="1" t="s">
        <v>51</v>
      </c>
      <c r="F177" s="36">
        <v>1975</v>
      </c>
      <c r="G177" s="36"/>
      <c r="H177" s="38">
        <f t="shared" si="6"/>
        <v>-2.9499999986910552E-3</v>
      </c>
    </row>
    <row r="178" spans="1:8" ht="12.75" customHeight="1" x14ac:dyDescent="0.25">
      <c r="A178" s="81">
        <f t="shared" si="4"/>
        <v>11</v>
      </c>
      <c r="B178" s="37">
        <f t="shared" si="5"/>
        <v>2021</v>
      </c>
      <c r="C178" s="37" t="str">
        <f t="shared" si="2"/>
        <v>Rent: 1</v>
      </c>
      <c r="D178" s="40" t="str">
        <f>MONTH(D177)+1 &amp; "/1/" &amp; YEAR(D177)</f>
        <v>11/1/2021</v>
      </c>
      <c r="E178" s="39" t="str">
        <f>"Rent: "&amp;LOOKUP(A178-1, Months, TextMonths)&amp;" '"&amp;B178</f>
        <v>Rent: Nov '2021</v>
      </c>
      <c r="F178" s="36"/>
      <c r="G178" s="84">
        <v>1975</v>
      </c>
      <c r="H178" s="38">
        <f t="shared" si="6"/>
        <v>1974.9970500000013</v>
      </c>
    </row>
    <row r="179" spans="1:8" ht="12.75" customHeight="1" x14ac:dyDescent="0.35">
      <c r="A179" s="81">
        <f t="shared" si="4"/>
        <v>11</v>
      </c>
      <c r="B179" s="37">
        <f t="shared" si="5"/>
        <v>2021</v>
      </c>
      <c r="C179" s="37" t="str">
        <f t="shared" si="2"/>
        <v>Income: 1</v>
      </c>
      <c r="D179" s="41">
        <v>44501</v>
      </c>
      <c r="E179" s="1" t="s">
        <v>51</v>
      </c>
      <c r="F179" s="36">
        <v>1975</v>
      </c>
      <c r="G179" s="36"/>
      <c r="H179" s="38">
        <f t="shared" si="6"/>
        <v>-2.9499999986910552E-3</v>
      </c>
    </row>
    <row r="180" spans="1:8" ht="12.75" customHeight="1" x14ac:dyDescent="0.25">
      <c r="A180" s="81">
        <f t="shared" si="4"/>
        <v>12</v>
      </c>
      <c r="B180" s="37">
        <f t="shared" si="5"/>
        <v>2021</v>
      </c>
      <c r="C180" s="37" t="str">
        <f t="shared" si="2"/>
        <v>Rent: 1</v>
      </c>
      <c r="D180" s="40" t="str">
        <f>MONTH(D179)+1 &amp; "/1/" &amp; YEAR(D179)</f>
        <v>12/1/2021</v>
      </c>
      <c r="E180" s="39" t="str">
        <f>"Rent: "&amp;LOOKUP(A180-1, Months, TextMonths)&amp;" '"&amp;B180</f>
        <v>Rent: Dec '2021</v>
      </c>
      <c r="F180" s="36"/>
      <c r="G180" s="84">
        <v>1975</v>
      </c>
      <c r="H180" s="38">
        <f t="shared" si="6"/>
        <v>1974.9970500000013</v>
      </c>
    </row>
    <row r="181" spans="1:8" ht="12.75" customHeight="1" thickBot="1" x14ac:dyDescent="0.4">
      <c r="A181" s="82">
        <f t="shared" si="4"/>
        <v>12</v>
      </c>
      <c r="B181" s="47">
        <f t="shared" si="5"/>
        <v>2021</v>
      </c>
      <c r="C181" s="47" t="str">
        <f t="shared" si="2"/>
        <v>Income: 1</v>
      </c>
      <c r="D181" s="79">
        <v>44531</v>
      </c>
      <c r="E181" s="76" t="s">
        <v>51</v>
      </c>
      <c r="F181" s="50">
        <v>1975</v>
      </c>
      <c r="G181" s="50"/>
      <c r="H181" s="77">
        <f t="shared" si="6"/>
        <v>-2.9499999986910552E-3</v>
      </c>
    </row>
    <row r="182" spans="1:8" ht="12.75" customHeight="1" x14ac:dyDescent="0.25">
      <c r="A182" s="80">
        <f t="shared" si="4"/>
        <v>1</v>
      </c>
      <c r="B182" s="42">
        <f t="shared" si="5"/>
        <v>2022</v>
      </c>
      <c r="C182" s="42" t="str">
        <f t="shared" si="2"/>
        <v>Rent: 1</v>
      </c>
      <c r="D182" s="43" t="str">
        <f>"1/1/" &amp; YEAR(D181)+1</f>
        <v>1/1/2022</v>
      </c>
      <c r="E182" s="44" t="str">
        <f>"Rent: "&amp;LOOKUP(A182-1, Months, TextMonths)&amp;" '"&amp;B182</f>
        <v>Rent: Jan '2022</v>
      </c>
      <c r="F182" s="45"/>
      <c r="G182" s="83">
        <v>1975</v>
      </c>
      <c r="H182" s="74">
        <f t="shared" si="6"/>
        <v>1974.9970500000013</v>
      </c>
    </row>
    <row r="183" spans="1:8" ht="12.75" customHeight="1" x14ac:dyDescent="0.35">
      <c r="A183" s="81">
        <f t="shared" si="4"/>
        <v>1</v>
      </c>
      <c r="B183" s="37">
        <f t="shared" si="5"/>
        <v>2022</v>
      </c>
      <c r="C183" s="37" t="str">
        <f t="shared" si="2"/>
        <v>Income: 1</v>
      </c>
      <c r="D183" s="41">
        <v>44562</v>
      </c>
      <c r="E183" s="1" t="s">
        <v>51</v>
      </c>
      <c r="F183" s="36">
        <v>1975</v>
      </c>
      <c r="G183" s="36"/>
      <c r="H183" s="38">
        <f t="shared" si="6"/>
        <v>-2.9499999986910552E-3</v>
      </c>
    </row>
    <row r="184" spans="1:8" ht="12.75" customHeight="1" x14ac:dyDescent="0.25">
      <c r="A184" s="81">
        <f t="shared" si="4"/>
        <v>2</v>
      </c>
      <c r="B184" s="37">
        <f t="shared" si="5"/>
        <v>2022</v>
      </c>
      <c r="C184" s="37" t="str">
        <f t="shared" si="2"/>
        <v>Rent: 1</v>
      </c>
      <c r="D184" s="40" t="str">
        <f>MONTH(D183)+1 &amp; "/1/" &amp; YEAR(D183)</f>
        <v>2/1/2022</v>
      </c>
      <c r="E184" s="39" t="str">
        <f>"Rent: "&amp;LOOKUP(A184-1, Months, TextMonths)&amp;" '"&amp;B184</f>
        <v>Rent: Feb '2022</v>
      </c>
      <c r="F184" s="36"/>
      <c r="G184" s="84">
        <v>1975</v>
      </c>
      <c r="H184" s="38">
        <f t="shared" si="6"/>
        <v>1974.9970500000013</v>
      </c>
    </row>
    <row r="185" spans="1:8" ht="12.75" customHeight="1" x14ac:dyDescent="0.35">
      <c r="A185" s="81">
        <f t="shared" si="4"/>
        <v>2</v>
      </c>
      <c r="B185" s="37">
        <f t="shared" si="5"/>
        <v>2022</v>
      </c>
      <c r="C185" s="37" t="str">
        <f t="shared" si="2"/>
        <v>Income: 1</v>
      </c>
      <c r="D185" s="41">
        <v>44593</v>
      </c>
      <c r="E185" s="1" t="s">
        <v>51</v>
      </c>
      <c r="F185" s="36">
        <v>1975</v>
      </c>
      <c r="G185" s="36"/>
      <c r="H185" s="38">
        <f t="shared" si="6"/>
        <v>-2.9499999986910552E-3</v>
      </c>
    </row>
    <row r="186" spans="1:8" ht="12.75" customHeight="1" x14ac:dyDescent="0.25">
      <c r="A186" s="81">
        <f t="shared" si="4"/>
        <v>3</v>
      </c>
      <c r="B186" s="37">
        <f t="shared" si="5"/>
        <v>2022</v>
      </c>
      <c r="C186" s="37" t="str">
        <f t="shared" si="2"/>
        <v>Rent: 1</v>
      </c>
      <c r="D186" s="40" t="str">
        <f>MONTH(D185)+1 &amp; "/1/" &amp; YEAR(D185)</f>
        <v>3/1/2022</v>
      </c>
      <c r="E186" s="39" t="str">
        <f>"Rent: "&amp;LOOKUP(A186-1, Months, TextMonths)&amp;" '"&amp;B186</f>
        <v>Rent: Mar '2022</v>
      </c>
      <c r="F186" s="36"/>
      <c r="G186" s="84">
        <v>1975</v>
      </c>
      <c r="H186" s="38">
        <f t="shared" si="6"/>
        <v>1974.9970500000013</v>
      </c>
    </row>
    <row r="187" spans="1:8" ht="12.75" customHeight="1" thickBot="1" x14ac:dyDescent="0.4">
      <c r="A187" s="81">
        <f t="shared" si="4"/>
        <v>3</v>
      </c>
      <c r="B187" s="100">
        <f t="shared" si="5"/>
        <v>2022</v>
      </c>
      <c r="C187" s="100" t="str">
        <f t="shared" si="2"/>
        <v>Income: 1</v>
      </c>
      <c r="D187" s="131">
        <v>44621</v>
      </c>
      <c r="E187" s="132" t="s">
        <v>51</v>
      </c>
      <c r="F187" s="103">
        <v>1975</v>
      </c>
      <c r="G187" s="103"/>
      <c r="H187" s="105">
        <f t="shared" si="6"/>
        <v>-2.9499999986910552E-3</v>
      </c>
    </row>
    <row r="188" spans="1:8" ht="12.75" customHeight="1" x14ac:dyDescent="0.25">
      <c r="A188" s="107">
        <f t="shared" si="4"/>
        <v>4</v>
      </c>
      <c r="B188" s="108">
        <f t="shared" si="5"/>
        <v>2022</v>
      </c>
      <c r="C188" s="108" t="str">
        <f t="shared" si="2"/>
        <v>Rent: 1</v>
      </c>
      <c r="D188" s="109" t="str">
        <f>MONTH(D187)+1 &amp; "/1/" &amp; YEAR(D187)</f>
        <v>4/1/2022</v>
      </c>
      <c r="E188" s="110" t="str">
        <f>"Rent: "&amp;LOOKUP(A188-1, Months, TextMonths)&amp;" '"&amp;B188</f>
        <v>Rent: Apr '2022</v>
      </c>
      <c r="F188" s="111"/>
      <c r="G188" s="112">
        <v>1975</v>
      </c>
      <c r="H188" s="113">
        <f t="shared" si="6"/>
        <v>1974.9970500000013</v>
      </c>
    </row>
    <row r="189" spans="1:8" ht="12.75" customHeight="1" x14ac:dyDescent="0.35">
      <c r="A189" s="116">
        <f t="shared" si="4"/>
        <v>4</v>
      </c>
      <c r="B189" s="100">
        <f t="shared" si="5"/>
        <v>2022</v>
      </c>
      <c r="C189" s="100" t="str">
        <f t="shared" si="2"/>
        <v>Income: 1</v>
      </c>
      <c r="D189" s="131">
        <v>44652</v>
      </c>
      <c r="E189" s="132" t="s">
        <v>51</v>
      </c>
      <c r="F189" s="103">
        <v>1975</v>
      </c>
      <c r="G189" s="103"/>
      <c r="H189" s="105">
        <f t="shared" si="6"/>
        <v>-2.9499999986910552E-3</v>
      </c>
    </row>
    <row r="190" spans="1:8" ht="12.75" customHeight="1" x14ac:dyDescent="0.25">
      <c r="A190" s="116">
        <f t="shared" si="4"/>
        <v>5</v>
      </c>
      <c r="B190" s="100">
        <f t="shared" si="5"/>
        <v>2022</v>
      </c>
      <c r="C190" s="100" t="str">
        <f t="shared" si="2"/>
        <v>Rent: 1</v>
      </c>
      <c r="D190" s="118" t="str">
        <f>MONTH(D189)+1 &amp; "/1/" &amp; YEAR(D189)</f>
        <v>5/1/2022</v>
      </c>
      <c r="E190" s="119" t="str">
        <f>"Rent: "&amp;LOOKUP(A190-1, Months, TextMonths)&amp;" '"&amp;B190</f>
        <v>Rent: May '2022</v>
      </c>
      <c r="F190" s="103"/>
      <c r="G190" s="104">
        <v>1975</v>
      </c>
      <c r="H190" s="105">
        <f t="shared" si="6"/>
        <v>1974.9970500000013</v>
      </c>
    </row>
    <row r="191" spans="1:8" ht="12.75" customHeight="1" x14ac:dyDescent="0.35">
      <c r="A191" s="116">
        <f t="shared" si="4"/>
        <v>5</v>
      </c>
      <c r="B191" s="100">
        <f t="shared" si="5"/>
        <v>2022</v>
      </c>
      <c r="C191" s="100" t="str">
        <f t="shared" si="2"/>
        <v>Income: 1</v>
      </c>
      <c r="D191" s="131">
        <v>44682</v>
      </c>
      <c r="E191" s="132" t="s">
        <v>51</v>
      </c>
      <c r="F191" s="103">
        <v>1975</v>
      </c>
      <c r="G191" s="103"/>
      <c r="H191" s="105">
        <f t="shared" si="6"/>
        <v>-2.9499999986910552E-3</v>
      </c>
    </row>
    <row r="192" spans="1:8" ht="12.75" customHeight="1" x14ac:dyDescent="0.25">
      <c r="A192" s="116">
        <f t="shared" si="4"/>
        <v>6</v>
      </c>
      <c r="B192" s="100">
        <f t="shared" si="5"/>
        <v>2022</v>
      </c>
      <c r="C192" s="100" t="str">
        <f t="shared" si="2"/>
        <v>Rent: 1</v>
      </c>
      <c r="D192" s="118" t="str">
        <f>MONTH(D191)+1 &amp; "/1/" &amp; YEAR(D191)</f>
        <v>6/1/2022</v>
      </c>
      <c r="E192" s="119" t="str">
        <f>"Rent: "&amp;LOOKUP(A192-1, Months, TextMonths)&amp;" '"&amp;B192</f>
        <v>Rent: Jun '2022</v>
      </c>
      <c r="F192" s="103"/>
      <c r="G192" s="104">
        <v>1975</v>
      </c>
      <c r="H192" s="105">
        <f t="shared" si="6"/>
        <v>1974.9970500000013</v>
      </c>
    </row>
    <row r="193" spans="1:8" ht="12.75" customHeight="1" thickBot="1" x14ac:dyDescent="0.4">
      <c r="A193" s="122">
        <f t="shared" si="4"/>
        <v>6</v>
      </c>
      <c r="B193" s="123">
        <f t="shared" si="5"/>
        <v>2022</v>
      </c>
      <c r="C193" s="123" t="str">
        <f t="shared" si="2"/>
        <v>Income: 1</v>
      </c>
      <c r="D193" s="135">
        <v>44713</v>
      </c>
      <c r="E193" s="136" t="s">
        <v>51</v>
      </c>
      <c r="F193" s="126">
        <v>1975</v>
      </c>
      <c r="G193" s="126"/>
      <c r="H193" s="128">
        <f t="shared" si="6"/>
        <v>-2.9499999986910552E-3</v>
      </c>
    </row>
    <row r="194" spans="1:8" ht="12.75" customHeight="1" x14ac:dyDescent="0.25">
      <c r="A194" s="107">
        <f>MONTH(D194)</f>
        <v>7</v>
      </c>
      <c r="B194" s="108">
        <f>YEAR(D194)</f>
        <v>2022</v>
      </c>
      <c r="C194" s="108" t="str">
        <f>IFERROR("Rent: "&amp;FIND("Rent",E194),IFERROR("Priv Tax: "&amp;FIND("Tax",E194), IFERROR("Income: "&amp;FIND("Payment",E194,1),"")))</f>
        <v>Rent: 1</v>
      </c>
      <c r="D194" s="109" t="str">
        <f>MONTH(D193)+1 &amp; "/1/" &amp; YEAR(D193)</f>
        <v>7/1/2022</v>
      </c>
      <c r="E194" s="110" t="str">
        <f>"Rent: "&amp;LOOKUP(A194-1, Months, TextMonths)&amp;" '"&amp;B194</f>
        <v>Rent: Jul '2022</v>
      </c>
      <c r="F194" s="111"/>
      <c r="G194" s="112">
        <v>1975</v>
      </c>
      <c r="H194" s="113">
        <f>H193+G194-F194</f>
        <v>1974.9970500000013</v>
      </c>
    </row>
    <row r="195" spans="1:8" ht="12.75" customHeight="1" x14ac:dyDescent="0.35">
      <c r="A195" s="116">
        <f>MONTH(D195)</f>
        <v>7</v>
      </c>
      <c r="B195" s="100">
        <f>YEAR(D195)</f>
        <v>2022</v>
      </c>
      <c r="C195" s="100" t="str">
        <f>IFERROR("Rent: "&amp;FIND("Rent",E195),IFERROR("Priv Tax: "&amp;FIND("Tax",E195), IFERROR("Income: "&amp;FIND("Payment",E195,1),"")))</f>
        <v>Income: 1</v>
      </c>
      <c r="D195" s="131">
        <v>44743</v>
      </c>
      <c r="E195" s="132" t="s">
        <v>51</v>
      </c>
      <c r="F195" s="103">
        <v>1975</v>
      </c>
      <c r="G195" s="103"/>
      <c r="H195" s="105">
        <f>H194+G195-F195</f>
        <v>-2.9499999986910552E-3</v>
      </c>
    </row>
    <row r="196" spans="1:8" ht="12.75" customHeight="1" x14ac:dyDescent="0.25">
      <c r="A196" s="116">
        <f>MONTH(D196)</f>
        <v>8</v>
      </c>
      <c r="B196" s="100">
        <f>YEAR(D196)</f>
        <v>2022</v>
      </c>
      <c r="C196" s="100" t="str">
        <f>IFERROR("Rent: "&amp;FIND("Rent",E196),IFERROR("Priv Tax: "&amp;FIND("Tax",E196), IFERROR("Income: "&amp;FIND("Payment",E196,1),"")))</f>
        <v>Rent: 1</v>
      </c>
      <c r="D196" s="118" t="str">
        <f>MONTH(D195)+1 &amp; "/1/" &amp; YEAR(D195)</f>
        <v>8/1/2022</v>
      </c>
      <c r="E196" s="119" t="str">
        <f>"Rent: "&amp;LOOKUP(A196-1, Months, TextMonths)&amp;" '"&amp;B196</f>
        <v>Rent: Aug '2022</v>
      </c>
      <c r="F196" s="103"/>
      <c r="G196" s="104">
        <v>2125</v>
      </c>
      <c r="H196" s="105">
        <f>H195+G196-F196</f>
        <v>2124.9970500000013</v>
      </c>
    </row>
    <row r="197" spans="1:8" ht="12.75" customHeight="1" x14ac:dyDescent="0.35">
      <c r="A197" s="116">
        <f>MONTH(D197)</f>
        <v>8</v>
      </c>
      <c r="B197" s="100">
        <f>YEAR(D197)</f>
        <v>2022</v>
      </c>
      <c r="C197" s="100" t="str">
        <f>IFERROR("Rent: "&amp;FIND("Rent",E197),IFERROR("Priv Tax: "&amp;FIND("Tax",E197), IFERROR("Income: "&amp;FIND("Payment",E197,1),"")))</f>
        <v>Income: 1</v>
      </c>
      <c r="D197" s="131">
        <v>44775</v>
      </c>
      <c r="E197" s="132" t="s">
        <v>51</v>
      </c>
      <c r="F197" s="103">
        <v>2125</v>
      </c>
      <c r="G197" s="103"/>
      <c r="H197" s="105">
        <f>H196+G197-F197</f>
        <v>-2.9499999986910552E-3</v>
      </c>
    </row>
    <row r="198" spans="1:8" ht="12.75" customHeight="1" x14ac:dyDescent="0.25">
      <c r="A198" s="116">
        <f t="shared" ref="A198:A203" si="7">MONTH(D198)</f>
        <v>9</v>
      </c>
      <c r="B198" s="100">
        <f t="shared" ref="B198:B203" si="8">YEAR(D198)</f>
        <v>2022</v>
      </c>
      <c r="C198" s="100" t="str">
        <f t="shared" ref="C198:C203" si="9">IFERROR("Rent: "&amp;FIND("Rent",E198),IFERROR("Priv Tax: "&amp;FIND("Tax",E198), IFERROR("Income: "&amp;FIND("Payment",E198,1),"")))</f>
        <v>Rent: 1</v>
      </c>
      <c r="D198" s="118" t="str">
        <f>MONTH(D197)+1 &amp; "/1/" &amp; YEAR(D197)</f>
        <v>9/1/2022</v>
      </c>
      <c r="E198" s="119" t="str">
        <f>"Rent: "&amp;LOOKUP(A198-1, Months, TextMonths)&amp;" '"&amp;B198</f>
        <v>Rent: Sep '2022</v>
      </c>
      <c r="F198" s="103"/>
      <c r="G198" s="104">
        <v>2125</v>
      </c>
      <c r="H198" s="105">
        <f t="shared" ref="H198:H203" si="10">H197+G198-F198</f>
        <v>2124.9970500000013</v>
      </c>
    </row>
    <row r="199" spans="1:8" ht="12.75" customHeight="1" thickBot="1" x14ac:dyDescent="0.4">
      <c r="A199" s="122">
        <f t="shared" si="7"/>
        <v>9</v>
      </c>
      <c r="B199" s="123">
        <f t="shared" si="8"/>
        <v>2022</v>
      </c>
      <c r="C199" s="123" t="str">
        <f t="shared" si="9"/>
        <v>Income: 1</v>
      </c>
      <c r="D199" s="135">
        <v>44805</v>
      </c>
      <c r="E199" s="136" t="s">
        <v>51</v>
      </c>
      <c r="F199" s="126">
        <v>2125</v>
      </c>
      <c r="G199" s="126"/>
      <c r="H199" s="128">
        <f t="shared" si="10"/>
        <v>-2.9499999986910552E-3</v>
      </c>
    </row>
    <row r="200" spans="1:8" ht="12.75" customHeight="1" x14ac:dyDescent="0.25">
      <c r="A200" s="107">
        <f t="shared" si="7"/>
        <v>10</v>
      </c>
      <c r="B200" s="108">
        <f t="shared" si="8"/>
        <v>2022</v>
      </c>
      <c r="C200" s="108" t="str">
        <f t="shared" si="9"/>
        <v>Rent: 1</v>
      </c>
      <c r="D200" s="109" t="str">
        <f>MONTH(D199)+1 &amp; "/1/" &amp; YEAR(D199)</f>
        <v>10/1/2022</v>
      </c>
      <c r="E200" s="110" t="str">
        <f>"Rent: "&amp;LOOKUP(A200-1, Months, TextMonths)&amp;" '"&amp;B200</f>
        <v>Rent: Oct '2022</v>
      </c>
      <c r="F200" s="111"/>
      <c r="G200" s="112">
        <v>2125</v>
      </c>
      <c r="H200" s="113">
        <f t="shared" si="10"/>
        <v>2124.9970500000013</v>
      </c>
    </row>
    <row r="201" spans="1:8" ht="12.75" customHeight="1" x14ac:dyDescent="0.35">
      <c r="A201" s="116">
        <f t="shared" si="7"/>
        <v>10</v>
      </c>
      <c r="B201" s="100">
        <f t="shared" si="8"/>
        <v>2022</v>
      </c>
      <c r="C201" s="100" t="str">
        <f t="shared" si="9"/>
        <v>Income: 1</v>
      </c>
      <c r="D201" s="131">
        <v>44835</v>
      </c>
      <c r="E201" s="132" t="s">
        <v>51</v>
      </c>
      <c r="F201" s="103">
        <v>2125</v>
      </c>
      <c r="G201" s="103"/>
      <c r="H201" s="105">
        <f t="shared" si="10"/>
        <v>-2.9499999986910552E-3</v>
      </c>
    </row>
    <row r="202" spans="1:8" ht="12.75" customHeight="1" x14ac:dyDescent="0.25">
      <c r="A202" s="116">
        <f t="shared" si="7"/>
        <v>11</v>
      </c>
      <c r="B202" s="100">
        <f t="shared" si="8"/>
        <v>2022</v>
      </c>
      <c r="C202" s="100" t="str">
        <f t="shared" si="9"/>
        <v>Rent: 1</v>
      </c>
      <c r="D202" s="118" t="str">
        <f>MONTH(D201)+1 &amp; "/1/" &amp; YEAR(D201)</f>
        <v>11/1/2022</v>
      </c>
      <c r="E202" s="119" t="str">
        <f>"Rent: "&amp;LOOKUP(A202-1, Months, TextMonths)&amp;" '"&amp;B202</f>
        <v>Rent: Nov '2022</v>
      </c>
      <c r="F202" s="103"/>
      <c r="G202" s="104">
        <v>2125</v>
      </c>
      <c r="H202" s="105">
        <f t="shared" si="10"/>
        <v>2124.9970500000013</v>
      </c>
    </row>
    <row r="203" spans="1:8" ht="12.75" customHeight="1" x14ac:dyDescent="0.35">
      <c r="A203" s="116">
        <f t="shared" si="7"/>
        <v>11</v>
      </c>
      <c r="B203" s="100">
        <f t="shared" si="8"/>
        <v>2022</v>
      </c>
      <c r="C203" s="100" t="str">
        <f t="shared" si="9"/>
        <v>Income: 1</v>
      </c>
      <c r="D203" s="131">
        <v>44866</v>
      </c>
      <c r="E203" s="132" t="s">
        <v>51</v>
      </c>
      <c r="F203" s="103">
        <v>2125</v>
      </c>
      <c r="G203" s="103"/>
      <c r="H203" s="105">
        <f t="shared" si="10"/>
        <v>-2.9499999986910552E-3</v>
      </c>
    </row>
    <row r="204" spans="1:8" ht="12.75" customHeight="1" x14ac:dyDescent="0.25">
      <c r="A204" s="180">
        <v>12</v>
      </c>
      <c r="B204" s="174">
        <v>2022</v>
      </c>
      <c r="C204" s="174" t="s">
        <v>160</v>
      </c>
      <c r="D204" s="177" t="s">
        <v>161</v>
      </c>
      <c r="E204" s="176" t="s">
        <v>162</v>
      </c>
      <c r="F204" s="179"/>
      <c r="G204" s="178">
        <v>2125</v>
      </c>
      <c r="H204" s="175">
        <v>2124.9970500000013</v>
      </c>
    </row>
    <row r="205" spans="1:8" ht="12.75" customHeight="1" thickBot="1" x14ac:dyDescent="0.4">
      <c r="A205" s="122">
        <f>MONTH(D205)</f>
        <v>12</v>
      </c>
      <c r="B205" s="123">
        <f>YEAR(D205)</f>
        <v>2022</v>
      </c>
      <c r="C205" s="123" t="str">
        <f>IFERROR("Rent: "&amp;FIND("Rent",E205),IFERROR("Priv Tax: "&amp;FIND("Tax",E205), IFERROR("Income: "&amp;FIND("Payment",E205,1),"")))</f>
        <v>Income: 1</v>
      </c>
      <c r="D205" s="135">
        <v>44897</v>
      </c>
      <c r="E205" s="136" t="s">
        <v>51</v>
      </c>
      <c r="F205" s="126">
        <v>2125</v>
      </c>
      <c r="G205" s="126"/>
      <c r="H205" s="128">
        <f>H204+G205-F205</f>
        <v>-2.9499999986910552E-3</v>
      </c>
    </row>
    <row r="206" spans="1:8" ht="12.75" customHeight="1" x14ac:dyDescent="0.25">
      <c r="A206" s="116">
        <f>MONTH(D206)</f>
        <v>1</v>
      </c>
      <c r="B206" s="100">
        <f>YEAR(D206)</f>
        <v>2023</v>
      </c>
      <c r="C206" s="100" t="str">
        <f>IFERROR("Rent: "&amp;FIND("Rent",E206),IFERROR("Priv Tax: "&amp;FIND("Tax",E206), IFERROR("Income: "&amp;FIND("Payment",E206,1),"")))</f>
        <v>Rent: 1</v>
      </c>
      <c r="D206" s="118">
        <v>44927</v>
      </c>
      <c r="E206" s="119" t="str">
        <f>"Rent: "&amp;LOOKUP(A206-1, Months, TextMonths)&amp;" '"&amp;B206</f>
        <v>Rent: Jan '2023</v>
      </c>
      <c r="F206" s="103"/>
      <c r="G206" s="104">
        <v>2125</v>
      </c>
      <c r="H206" s="105">
        <f>H205+G206-F206</f>
        <v>2124.9970500000013</v>
      </c>
    </row>
    <row r="207" spans="1:8" ht="12.75" customHeight="1" x14ac:dyDescent="0.35">
      <c r="A207" s="116">
        <f>MONTH(D207)</f>
        <v>1</v>
      </c>
      <c r="B207" s="100">
        <f>YEAR(D207)</f>
        <v>2023</v>
      </c>
      <c r="C207" s="100" t="str">
        <f>IFERROR("Rent: "&amp;FIND("Rent",E207),IFERROR("Priv Tax: "&amp;FIND("Tax",E207), IFERROR("Income: "&amp;FIND("Payment",E207,1),"")))</f>
        <v>Income: 1</v>
      </c>
      <c r="D207" s="131">
        <v>44927</v>
      </c>
      <c r="E207" s="132" t="s">
        <v>51</v>
      </c>
      <c r="F207" s="103">
        <v>2125</v>
      </c>
      <c r="G207" s="103"/>
      <c r="H207" s="105">
        <f>H206+G207-F207</f>
        <v>-2.9499999986910552E-3</v>
      </c>
    </row>
    <row r="208" spans="1:8" ht="12.75" customHeight="1" x14ac:dyDescent="0.25">
      <c r="F208" s="36"/>
      <c r="G208" s="36"/>
      <c r="H208" s="36"/>
    </row>
    <row r="209" spans="6:8" ht="12.75" customHeight="1" x14ac:dyDescent="0.25">
      <c r="F209" s="36"/>
      <c r="G209" s="36"/>
      <c r="H209" s="36"/>
    </row>
    <row r="210" spans="6:8" ht="12.75" customHeight="1" x14ac:dyDescent="0.25">
      <c r="F210" s="36"/>
      <c r="G210" s="36"/>
      <c r="H210" s="36"/>
    </row>
    <row r="211" spans="6:8" ht="12.75" customHeight="1" x14ac:dyDescent="0.25">
      <c r="F211" s="36"/>
      <c r="G211" s="36"/>
      <c r="H211" s="36"/>
    </row>
    <row r="212" spans="6:8" ht="12.75" customHeight="1" x14ac:dyDescent="0.25">
      <c r="F212" s="36"/>
      <c r="G212" s="36"/>
      <c r="H212" s="36"/>
    </row>
    <row r="213" spans="6:8" ht="12.75" customHeight="1" x14ac:dyDescent="0.25">
      <c r="F213" s="36"/>
      <c r="G213" s="36"/>
      <c r="H213" s="36"/>
    </row>
    <row r="214" spans="6:8" ht="12.75" customHeight="1" x14ac:dyDescent="0.25">
      <c r="F214" s="36"/>
      <c r="G214" s="36"/>
      <c r="H214" s="36"/>
    </row>
    <row r="215" spans="6:8" ht="12.75" customHeight="1" x14ac:dyDescent="0.25">
      <c r="F215" s="36"/>
      <c r="G215" s="36"/>
      <c r="H215" s="36"/>
    </row>
    <row r="216" spans="6:8" ht="12.75" customHeight="1" x14ac:dyDescent="0.25">
      <c r="F216" s="36"/>
      <c r="G216" s="36"/>
      <c r="H216" s="36"/>
    </row>
    <row r="217" spans="6:8" ht="12.75" customHeight="1" x14ac:dyDescent="0.25">
      <c r="F217" s="36"/>
      <c r="G217" s="36"/>
      <c r="H217" s="36"/>
    </row>
    <row r="218" spans="6:8" ht="12.75" customHeight="1" x14ac:dyDescent="0.25">
      <c r="F218" s="36"/>
      <c r="G218" s="36"/>
      <c r="H218" s="36"/>
    </row>
    <row r="219" spans="6:8" ht="12.75" customHeight="1" x14ac:dyDescent="0.25">
      <c r="F219" s="36"/>
      <c r="G219" s="36"/>
      <c r="H219" s="36"/>
    </row>
    <row r="220" spans="6:8" ht="12.75" customHeight="1" x14ac:dyDescent="0.25">
      <c r="F220" s="36"/>
      <c r="G220" s="36"/>
      <c r="H220" s="36"/>
    </row>
    <row r="221" spans="6:8" ht="12.75" customHeight="1" x14ac:dyDescent="0.25">
      <c r="F221" s="36"/>
      <c r="G221" s="36"/>
      <c r="H221" s="36"/>
    </row>
    <row r="222" spans="6:8" ht="12.75" customHeight="1" x14ac:dyDescent="0.25">
      <c r="F222" s="36"/>
      <c r="G222" s="36"/>
      <c r="H222" s="36"/>
    </row>
    <row r="223" spans="6:8" ht="12.75" customHeight="1" x14ac:dyDescent="0.25">
      <c r="F223" s="36"/>
      <c r="G223" s="36"/>
      <c r="H223" s="36"/>
    </row>
    <row r="224" spans="6:8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>
      <c r="F938" s="36"/>
      <c r="G938" s="36"/>
      <c r="H938" s="36"/>
    </row>
    <row r="939" spans="6:8" ht="12.75" customHeight="1" x14ac:dyDescent="0.25">
      <c r="F939" s="36"/>
      <c r="G939" s="36"/>
      <c r="H939" s="36"/>
    </row>
    <row r="940" spans="6:8" ht="12.75" customHeight="1" x14ac:dyDescent="0.25">
      <c r="F940" s="36"/>
      <c r="G940" s="36"/>
      <c r="H940" s="36"/>
    </row>
    <row r="941" spans="6:8" ht="12.75" customHeight="1" x14ac:dyDescent="0.25">
      <c r="F941" s="36"/>
      <c r="G941" s="36"/>
      <c r="H941" s="36"/>
    </row>
    <row r="942" spans="6:8" ht="12.75" customHeight="1" x14ac:dyDescent="0.25">
      <c r="F942" s="36"/>
      <c r="G942" s="36"/>
      <c r="H942" s="36"/>
    </row>
    <row r="943" spans="6:8" ht="12.75" customHeight="1" x14ac:dyDescent="0.25">
      <c r="F943" s="36"/>
      <c r="G943" s="36"/>
      <c r="H943" s="36"/>
    </row>
    <row r="944" spans="6:8" ht="12.75" customHeight="1" x14ac:dyDescent="0.25">
      <c r="F944" s="36"/>
      <c r="G944" s="36"/>
      <c r="H944" s="36"/>
    </row>
    <row r="945" spans="6:8" ht="12.75" customHeight="1" x14ac:dyDescent="0.25">
      <c r="F945" s="36"/>
      <c r="G945" s="36"/>
      <c r="H945" s="36"/>
    </row>
    <row r="946" spans="6:8" ht="12.75" customHeight="1" x14ac:dyDescent="0.25">
      <c r="F946" s="36"/>
      <c r="G946" s="36"/>
      <c r="H946" s="36"/>
    </row>
    <row r="947" spans="6:8" ht="12.75" customHeight="1" x14ac:dyDescent="0.25">
      <c r="F947" s="36"/>
      <c r="G947" s="36"/>
      <c r="H947" s="36"/>
    </row>
    <row r="948" spans="6:8" ht="12.75" customHeight="1" x14ac:dyDescent="0.25">
      <c r="F948" s="36"/>
      <c r="G948" s="36"/>
      <c r="H948" s="36"/>
    </row>
    <row r="949" spans="6:8" ht="12.75" customHeight="1" x14ac:dyDescent="0.25">
      <c r="F949" s="36"/>
      <c r="G949" s="36"/>
      <c r="H949" s="36"/>
    </row>
    <row r="950" spans="6:8" ht="12.75" customHeight="1" x14ac:dyDescent="0.25">
      <c r="F950" s="36"/>
      <c r="G950" s="36"/>
      <c r="H950" s="36"/>
    </row>
    <row r="951" spans="6:8" ht="12.75" customHeight="1" x14ac:dyDescent="0.25">
      <c r="F951" s="36"/>
      <c r="G951" s="36"/>
      <c r="H951" s="36"/>
    </row>
    <row r="952" spans="6:8" ht="12.75" customHeight="1" x14ac:dyDescent="0.25">
      <c r="F952" s="36"/>
      <c r="G952" s="36"/>
      <c r="H952" s="36"/>
    </row>
    <row r="953" spans="6:8" ht="12.75" customHeight="1" x14ac:dyDescent="0.25">
      <c r="F953" s="36"/>
      <c r="G953" s="36"/>
      <c r="H953" s="36"/>
    </row>
    <row r="954" spans="6:8" ht="12.75" customHeight="1" x14ac:dyDescent="0.25">
      <c r="F954" s="36"/>
      <c r="G954" s="36"/>
      <c r="H954" s="36"/>
    </row>
    <row r="955" spans="6:8" ht="12.75" customHeight="1" x14ac:dyDescent="0.25">
      <c r="F955" s="36"/>
      <c r="G955" s="36"/>
      <c r="H955" s="36"/>
    </row>
    <row r="956" spans="6:8" ht="12.75" customHeight="1" x14ac:dyDescent="0.25">
      <c r="F956" s="36"/>
      <c r="G956" s="36"/>
      <c r="H956" s="36"/>
    </row>
    <row r="957" spans="6:8" ht="12.75" customHeight="1" x14ac:dyDescent="0.25">
      <c r="F957" s="36"/>
      <c r="G957" s="36"/>
      <c r="H957" s="36"/>
    </row>
    <row r="958" spans="6:8" ht="12.75" customHeight="1" x14ac:dyDescent="0.25">
      <c r="F958" s="36"/>
      <c r="G958" s="36"/>
      <c r="H958" s="36"/>
    </row>
    <row r="959" spans="6:8" ht="12.75" customHeight="1" x14ac:dyDescent="0.25">
      <c r="F959" s="36"/>
      <c r="G959" s="36"/>
      <c r="H959" s="36"/>
    </row>
    <row r="960" spans="6:8" ht="12.75" customHeight="1" x14ac:dyDescent="0.25">
      <c r="F960" s="36"/>
      <c r="G960" s="36"/>
      <c r="H960" s="36"/>
    </row>
    <row r="961" spans="6:8" ht="12.75" customHeight="1" x14ac:dyDescent="0.25">
      <c r="F961" s="36"/>
      <c r="G961" s="36"/>
      <c r="H961" s="36"/>
    </row>
    <row r="962" spans="6:8" ht="12.75" customHeight="1" x14ac:dyDescent="0.25">
      <c r="F962" s="36"/>
      <c r="G962" s="36"/>
      <c r="H962" s="36"/>
    </row>
    <row r="963" spans="6:8" ht="12.75" customHeight="1" x14ac:dyDescent="0.25">
      <c r="F963" s="36"/>
      <c r="G963" s="36"/>
      <c r="H963" s="36"/>
    </row>
    <row r="964" spans="6:8" ht="12.75" customHeight="1" x14ac:dyDescent="0.25">
      <c r="F964" s="36"/>
      <c r="G964" s="36"/>
      <c r="H964" s="36"/>
    </row>
    <row r="965" spans="6:8" ht="12.75" customHeight="1" x14ac:dyDescent="0.25">
      <c r="F965" s="36"/>
      <c r="G965" s="36"/>
      <c r="H965" s="36"/>
    </row>
    <row r="966" spans="6:8" ht="12.75" customHeight="1" x14ac:dyDescent="0.25">
      <c r="F966" s="36"/>
      <c r="G966" s="36"/>
      <c r="H966" s="36"/>
    </row>
    <row r="967" spans="6:8" ht="12.75" customHeight="1" x14ac:dyDescent="0.25">
      <c r="F967" s="36"/>
      <c r="G967" s="36"/>
      <c r="H967" s="36"/>
    </row>
    <row r="968" spans="6:8" ht="12.75" customHeight="1" x14ac:dyDescent="0.25">
      <c r="F968" s="36"/>
      <c r="G968" s="36"/>
      <c r="H968" s="36"/>
    </row>
    <row r="969" spans="6:8" ht="12.75" customHeight="1" x14ac:dyDescent="0.25">
      <c r="F969" s="36"/>
      <c r="G969" s="36"/>
      <c r="H969" s="36"/>
    </row>
    <row r="970" spans="6:8" ht="12.75" customHeight="1" x14ac:dyDescent="0.25">
      <c r="F970" s="36"/>
      <c r="G970" s="36"/>
      <c r="H970" s="36"/>
    </row>
    <row r="971" spans="6:8" ht="12.75" customHeight="1" x14ac:dyDescent="0.25">
      <c r="F971" s="36"/>
      <c r="G971" s="36"/>
      <c r="H971" s="36"/>
    </row>
    <row r="972" spans="6:8" ht="12.75" customHeight="1" x14ac:dyDescent="0.25">
      <c r="F972" s="36"/>
      <c r="G972" s="36"/>
      <c r="H972" s="36"/>
    </row>
    <row r="973" spans="6:8" ht="12.75" customHeight="1" x14ac:dyDescent="0.25">
      <c r="F973" s="36"/>
      <c r="G973" s="36"/>
      <c r="H973" s="36"/>
    </row>
    <row r="974" spans="6:8" ht="12.75" customHeight="1" x14ac:dyDescent="0.25">
      <c r="F974" s="36"/>
      <c r="G974" s="36"/>
      <c r="H974" s="36"/>
    </row>
    <row r="975" spans="6:8" ht="12.75" customHeight="1" x14ac:dyDescent="0.25">
      <c r="F975" s="36"/>
      <c r="G975" s="36"/>
      <c r="H975" s="36"/>
    </row>
    <row r="976" spans="6:8" ht="12.75" customHeight="1" x14ac:dyDescent="0.25">
      <c r="F976" s="36"/>
      <c r="G976" s="36"/>
      <c r="H976" s="36"/>
    </row>
    <row r="977" spans="6:8" ht="12.75" customHeight="1" x14ac:dyDescent="0.25">
      <c r="F977" s="36"/>
      <c r="G977" s="36"/>
      <c r="H977" s="36"/>
    </row>
    <row r="978" spans="6:8" ht="12.75" customHeight="1" x14ac:dyDescent="0.25">
      <c r="F978" s="36"/>
      <c r="G978" s="36"/>
      <c r="H978" s="36"/>
    </row>
    <row r="979" spans="6:8" ht="12.75" customHeight="1" x14ac:dyDescent="0.25">
      <c r="F979" s="36"/>
      <c r="G979" s="36"/>
      <c r="H979" s="36"/>
    </row>
    <row r="980" spans="6:8" ht="12.75" customHeight="1" x14ac:dyDescent="0.25">
      <c r="F980" s="36"/>
      <c r="G980" s="36"/>
      <c r="H980" s="36"/>
    </row>
    <row r="981" spans="6:8" ht="12.75" customHeight="1" x14ac:dyDescent="0.25">
      <c r="F981" s="36"/>
      <c r="G981" s="36"/>
      <c r="H981" s="36"/>
    </row>
    <row r="982" spans="6:8" ht="12.75" customHeight="1" x14ac:dyDescent="0.25">
      <c r="F982" s="36"/>
      <c r="G982" s="36"/>
      <c r="H982" s="36"/>
    </row>
    <row r="983" spans="6:8" ht="12.75" customHeight="1" x14ac:dyDescent="0.25">
      <c r="F983" s="36"/>
      <c r="G983" s="36"/>
      <c r="H983" s="36"/>
    </row>
    <row r="984" spans="6:8" ht="12.75" customHeight="1" x14ac:dyDescent="0.25">
      <c r="F984" s="36"/>
      <c r="G984" s="36"/>
      <c r="H984" s="36"/>
    </row>
    <row r="985" spans="6:8" ht="12.75" customHeight="1" x14ac:dyDescent="0.25">
      <c r="F985" s="36"/>
      <c r="G985" s="36"/>
      <c r="H985" s="36"/>
    </row>
    <row r="986" spans="6:8" ht="12.75" customHeight="1" x14ac:dyDescent="0.25">
      <c r="F986" s="36"/>
      <c r="G986" s="36"/>
      <c r="H986" s="36"/>
    </row>
    <row r="987" spans="6:8" ht="12.75" customHeight="1" x14ac:dyDescent="0.25">
      <c r="F987" s="36"/>
      <c r="G987" s="36"/>
      <c r="H987" s="36"/>
    </row>
    <row r="988" spans="6:8" ht="12.75" customHeight="1" x14ac:dyDescent="0.25">
      <c r="F988" s="36"/>
      <c r="G988" s="36"/>
      <c r="H988" s="36"/>
    </row>
    <row r="989" spans="6:8" ht="12.75" customHeight="1" x14ac:dyDescent="0.25">
      <c r="F989" s="36"/>
      <c r="G989" s="36"/>
      <c r="H989" s="36"/>
    </row>
    <row r="990" spans="6:8" ht="12.75" customHeight="1" x14ac:dyDescent="0.25">
      <c r="F990" s="36"/>
      <c r="G990" s="36"/>
      <c r="H990" s="36"/>
    </row>
    <row r="991" spans="6:8" ht="12.75" customHeight="1" x14ac:dyDescent="0.25">
      <c r="F991" s="36"/>
      <c r="G991" s="36"/>
      <c r="H991" s="36"/>
    </row>
    <row r="992" spans="6:8" ht="12.75" customHeight="1" x14ac:dyDescent="0.25">
      <c r="F992" s="36"/>
      <c r="G992" s="36"/>
      <c r="H992" s="36"/>
    </row>
    <row r="993" spans="6:8" ht="12.75" customHeight="1" x14ac:dyDescent="0.25">
      <c r="F993" s="36"/>
      <c r="G993" s="36"/>
      <c r="H993" s="36"/>
    </row>
    <row r="994" spans="6:8" ht="12.75" customHeight="1" x14ac:dyDescent="0.25">
      <c r="F994" s="36"/>
      <c r="G994" s="36"/>
      <c r="H994" s="36"/>
    </row>
    <row r="995" spans="6:8" ht="12.75" customHeight="1" x14ac:dyDescent="0.25">
      <c r="F995" s="36"/>
      <c r="G995" s="36"/>
      <c r="H995" s="36"/>
    </row>
    <row r="996" spans="6:8" ht="12.75" customHeight="1" x14ac:dyDescent="0.25">
      <c r="F996" s="36"/>
      <c r="G996" s="36"/>
      <c r="H996" s="36"/>
    </row>
    <row r="997" spans="6:8" ht="12.75" customHeight="1" x14ac:dyDescent="0.25">
      <c r="F997" s="36"/>
      <c r="G997" s="36"/>
      <c r="H997" s="36"/>
    </row>
    <row r="998" spans="6:8" ht="12.75" customHeight="1" x14ac:dyDescent="0.25">
      <c r="F998" s="36"/>
      <c r="G998" s="36"/>
      <c r="H998" s="36"/>
    </row>
    <row r="999" spans="6:8" ht="12.75" customHeight="1" x14ac:dyDescent="0.25">
      <c r="F999" s="36"/>
      <c r="G999" s="36"/>
      <c r="H999" s="36"/>
    </row>
    <row r="1000" spans="6:8" ht="12.75" customHeight="1" x14ac:dyDescent="0.25">
      <c r="F1000" s="36"/>
      <c r="G1000" s="36"/>
      <c r="H1000" s="36"/>
    </row>
    <row r="1001" spans="6:8" ht="12.75" customHeight="1" x14ac:dyDescent="0.25">
      <c r="F1001" s="36"/>
      <c r="G1001" s="36"/>
      <c r="H1001" s="36"/>
    </row>
    <row r="1002" spans="6:8" ht="12.75" customHeight="1" x14ac:dyDescent="0.25">
      <c r="F1002" s="36"/>
      <c r="G1002" s="36"/>
      <c r="H1002" s="36"/>
    </row>
  </sheetData>
  <mergeCells count="1">
    <mergeCell ref="I4:K4"/>
  </mergeCells>
  <dataValidations count="1">
    <dataValidation type="list" allowBlank="1" showErrorMessage="1" sqref="F1" xr:uid="{00000000-0002-0000-08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Z1000"/>
  <sheetViews>
    <sheetView zoomScale="85" zoomScaleNormal="85" workbookViewId="0">
      <pane xSplit="2" ySplit="4" topLeftCell="F124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4296875" defaultRowHeight="15" customHeight="1" x14ac:dyDescent="0.25"/>
  <cols>
    <col min="1" max="1" width="6.1796875" customWidth="1"/>
    <col min="2" max="2" width="5" customWidth="1"/>
    <col min="3" max="3" width="9.453125" customWidth="1"/>
    <col min="4" max="4" width="10.54296875" customWidth="1"/>
    <col min="5" max="5" width="36.1796875" customWidth="1"/>
    <col min="6" max="6" width="13.453125" customWidth="1"/>
    <col min="7" max="8" width="14.81640625" customWidth="1"/>
    <col min="9" max="9" width="11.81640625" customWidth="1"/>
    <col min="10" max="10" width="14.453125" customWidth="1"/>
    <col min="11" max="11" width="11" customWidth="1"/>
    <col min="12" max="12" width="15.1796875" customWidth="1"/>
    <col min="13" max="13" width="11.81640625" customWidth="1"/>
    <col min="14" max="14" width="12.1796875" customWidth="1"/>
    <col min="15" max="26" width="8.54296875" customWidth="1"/>
  </cols>
  <sheetData>
    <row r="1" spans="1:26" ht="12.75" customHeight="1" x14ac:dyDescent="0.3">
      <c r="C1" t="s">
        <v>123</v>
      </c>
      <c r="D1" s="160" t="s">
        <v>139</v>
      </c>
      <c r="E1" s="102"/>
      <c r="F1" s="102"/>
      <c r="G1" s="148" t="s">
        <v>119</v>
      </c>
      <c r="H1" s="34"/>
      <c r="I1" s="145"/>
      <c r="J1" s="102"/>
      <c r="K1" s="51"/>
      <c r="L1" s="51"/>
    </row>
    <row r="2" spans="1:26" ht="12.75" customHeight="1" x14ac:dyDescent="0.3">
      <c r="D2" t="s">
        <v>138</v>
      </c>
      <c r="E2" s="102"/>
      <c r="F2" s="146"/>
      <c r="G2" s="149">
        <v>4</v>
      </c>
      <c r="H2" s="103"/>
      <c r="I2" s="151" t="s">
        <v>41</v>
      </c>
      <c r="J2" s="102"/>
      <c r="K2" s="51"/>
    </row>
    <row r="3" spans="1:26" ht="12.75" customHeight="1" x14ac:dyDescent="0.35">
      <c r="A3" s="30">
        <v>132</v>
      </c>
      <c r="D3" s="35">
        <f t="array" ref="D3">INDEX(D7:D65524, A3)</f>
        <v>0</v>
      </c>
      <c r="E3" s="120"/>
      <c r="F3" s="103"/>
      <c r="G3" s="147" t="s">
        <v>40</v>
      </c>
      <c r="H3" s="150" cm="1">
        <f t="array" ref="H3">INDEX(H1:H65518, A3)</f>
        <v>0</v>
      </c>
      <c r="I3" s="152">
        <v>45869</v>
      </c>
      <c r="J3" s="103"/>
      <c r="K3" s="67" t="s">
        <v>63</v>
      </c>
    </row>
    <row r="4" spans="1:26" ht="12.75" customHeight="1" x14ac:dyDescent="0.3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3">
      <c r="A5" s="55">
        <f>MONTH(D5)</f>
        <v>9</v>
      </c>
      <c r="B5" s="55">
        <f>YEAR(D5)</f>
        <v>2017</v>
      </c>
      <c r="C5" s="55" t="str">
        <f>IFERROR("Rent: "&amp;FIND("Rent",E5),IFERROR("Priv Tax: "&amp;FIND("Tax",E5), IFERROR("Income: "&amp;FIND("Payment",E5,1),"")))</f>
        <v/>
      </c>
      <c r="D5" s="165">
        <v>43008</v>
      </c>
      <c r="E5" s="173" t="s">
        <v>151</v>
      </c>
      <c r="F5" s="56"/>
      <c r="G5" s="56"/>
      <c r="H5" s="56"/>
    </row>
    <row r="6" spans="1:26" ht="12.75" customHeight="1" thickBot="1" x14ac:dyDescent="0.35">
      <c r="A6" s="51" t="s">
        <v>84</v>
      </c>
      <c r="B6" s="36"/>
      <c r="C6" s="36"/>
      <c r="D6" s="158" t="s">
        <v>127</v>
      </c>
      <c r="E6" s="36"/>
      <c r="F6" s="36"/>
      <c r="G6" s="36"/>
      <c r="H6" s="36"/>
    </row>
    <row r="7" spans="1:26" ht="12.75" customHeight="1" x14ac:dyDescent="0.25">
      <c r="A7" s="42">
        <f t="shared" ref="A7:A86" si="0">MONTH(D7)</f>
        <v>8</v>
      </c>
      <c r="B7" s="42">
        <f>YEAR(D7)</f>
        <v>2017</v>
      </c>
      <c r="C7" s="42" t="str">
        <f t="shared" ref="C7:C86" si="1">IFERROR("Rent: "&amp;FIND("Rent",E7),IFERROR("Priv Tax: "&amp;FIND("Tax",E7), IFERROR("Income: "&amp;FIND("Payment",E7,1),"")))</f>
        <v>Rent: 1</v>
      </c>
      <c r="D7" s="52">
        <v>42948</v>
      </c>
      <c r="E7" s="44" t="str">
        <f>"Rent: "&amp;LOOKUP(A7-1, Months, TextMonths)&amp;" '"&amp;B7</f>
        <v>Rent: Aug '2017</v>
      </c>
      <c r="F7" s="45"/>
      <c r="G7" s="45">
        <f>1150/1.018</f>
        <v>1129.6660117878193</v>
      </c>
      <c r="H7" s="74">
        <f>G7-F7</f>
        <v>1129.6660117878193</v>
      </c>
      <c r="I7" s="33"/>
      <c r="J7" s="33"/>
      <c r="K7" s="88"/>
      <c r="L7" s="75"/>
    </row>
    <row r="8" spans="1:26" ht="12.75" customHeight="1" x14ac:dyDescent="0.25">
      <c r="A8" s="37">
        <f t="shared" si="0"/>
        <v>8</v>
      </c>
      <c r="B8" s="37">
        <f t="shared" ref="B8:B86" si="2">YEAR(D8)</f>
        <v>2017</v>
      </c>
      <c r="C8" s="37" t="str">
        <f t="shared" si="1"/>
        <v>Priv Tax: 1</v>
      </c>
      <c r="D8" s="26">
        <f>D7</f>
        <v>42948</v>
      </c>
      <c r="E8" s="39" t="str">
        <f>"Tax: "&amp;LOOKUP(A8-1, Months, TextMonths)&amp;" '"&amp;B8</f>
        <v>Tax: Aug '2017</v>
      </c>
      <c r="F8" s="36"/>
      <c r="G8" s="36">
        <f>1150-G7</f>
        <v>20.333988212180657</v>
      </c>
      <c r="H8" s="38">
        <f>H7+G8-F8</f>
        <v>1150</v>
      </c>
      <c r="L8" s="71"/>
    </row>
    <row r="9" spans="1:26" ht="12.75" customHeight="1" x14ac:dyDescent="0.35">
      <c r="A9" s="37">
        <f t="shared" si="0"/>
        <v>9</v>
      </c>
      <c r="B9" s="37">
        <f t="shared" si="2"/>
        <v>2013</v>
      </c>
      <c r="C9" s="37" t="str">
        <f t="shared" si="1"/>
        <v/>
      </c>
      <c r="D9" s="28">
        <v>41521</v>
      </c>
      <c r="E9" s="70" t="s">
        <v>49</v>
      </c>
      <c r="F9" s="36"/>
      <c r="G9" s="36">
        <v>1150</v>
      </c>
      <c r="H9" s="38">
        <f>H8+G9-F9</f>
        <v>2300</v>
      </c>
      <c r="K9" s="15"/>
      <c r="L9" s="71"/>
      <c r="N9" s="15"/>
    </row>
    <row r="10" spans="1:26" ht="12.75" customHeight="1" x14ac:dyDescent="0.35">
      <c r="A10" s="37">
        <f t="shared" si="0"/>
        <v>9</v>
      </c>
      <c r="B10" s="37">
        <f t="shared" si="2"/>
        <v>2013</v>
      </c>
      <c r="C10" s="37" t="str">
        <f t="shared" si="1"/>
        <v/>
      </c>
      <c r="D10" s="28">
        <v>41521</v>
      </c>
      <c r="E10" s="70" t="s">
        <v>66</v>
      </c>
      <c r="F10" s="36"/>
      <c r="G10" s="36">
        <v>250</v>
      </c>
      <c r="H10" s="38">
        <v>2450</v>
      </c>
      <c r="K10" s="15"/>
      <c r="L10" s="71"/>
      <c r="M10" s="15"/>
    </row>
    <row r="11" spans="1:26" ht="12.75" customHeight="1" x14ac:dyDescent="0.25">
      <c r="A11" s="37">
        <f t="shared" si="0"/>
        <v>8</v>
      </c>
      <c r="B11" s="37">
        <f t="shared" si="2"/>
        <v>2017</v>
      </c>
      <c r="C11" s="37" t="str">
        <f t="shared" si="1"/>
        <v>Income: 1</v>
      </c>
      <c r="D11" s="28">
        <v>42949</v>
      </c>
      <c r="E11" s="29" t="s">
        <v>79</v>
      </c>
      <c r="F11" s="36">
        <v>2450</v>
      </c>
      <c r="G11" s="36"/>
      <c r="H11" s="38">
        <f t="shared" ref="H11:H21" si="3">H10+G11-F11</f>
        <v>0</v>
      </c>
      <c r="K11" s="15"/>
      <c r="L11" s="71"/>
      <c r="M11" s="15"/>
      <c r="N11" s="36"/>
    </row>
    <row r="12" spans="1:26" ht="12.75" customHeight="1" x14ac:dyDescent="0.25">
      <c r="A12" s="37">
        <f t="shared" si="0"/>
        <v>9</v>
      </c>
      <c r="B12" s="37">
        <f t="shared" si="2"/>
        <v>2017</v>
      </c>
      <c r="C12" s="37" t="str">
        <f t="shared" si="1"/>
        <v>Rent: 1</v>
      </c>
      <c r="D12" s="40" t="str">
        <f>MONTH(D11)+1 &amp; "/1/" &amp; YEAR(D11)</f>
        <v>9/1/2017</v>
      </c>
      <c r="E12" s="39" t="str">
        <f>"Rent: "&amp;LOOKUP(A12-1, Months, TextMonths)&amp;" '"&amp;B12</f>
        <v>Rent: Sep '2017</v>
      </c>
      <c r="F12" s="36"/>
      <c r="G12" s="36">
        <v>1150</v>
      </c>
      <c r="H12" s="38">
        <f t="shared" si="3"/>
        <v>1150</v>
      </c>
      <c r="I12" s="32"/>
      <c r="J12" s="32"/>
      <c r="K12" s="15"/>
      <c r="L12" s="71"/>
    </row>
    <row r="13" spans="1:26" ht="12.75" customHeight="1" x14ac:dyDescent="0.25">
      <c r="A13" s="37">
        <f t="shared" si="0"/>
        <v>9</v>
      </c>
      <c r="B13" s="37">
        <f t="shared" si="2"/>
        <v>2017</v>
      </c>
      <c r="C13" s="37" t="str">
        <f t="shared" si="1"/>
        <v>Priv Tax: 1</v>
      </c>
      <c r="D13" s="40" t="str">
        <f>D12</f>
        <v>9/1/2017</v>
      </c>
      <c r="E13" s="39" t="str">
        <f>"Tax: "&amp;LOOKUP(A13-1, Months, TextMonths)&amp;" '"&amp;B13</f>
        <v>Tax: Sep '2017</v>
      </c>
      <c r="F13" s="36"/>
      <c r="G13" s="36">
        <f>G12*0.018</f>
        <v>20.7</v>
      </c>
      <c r="H13" s="38">
        <f t="shared" si="3"/>
        <v>1170.7</v>
      </c>
      <c r="I13" s="36"/>
      <c r="J13" s="36"/>
      <c r="K13" s="15"/>
      <c r="L13" s="71"/>
    </row>
    <row r="14" spans="1:26" ht="12.75" customHeight="1" x14ac:dyDescent="0.25">
      <c r="A14" s="47">
        <f t="shared" si="0"/>
        <v>9</v>
      </c>
      <c r="B14" s="47">
        <f t="shared" si="2"/>
        <v>2017</v>
      </c>
      <c r="C14" s="47" t="str">
        <f t="shared" si="1"/>
        <v>Income: 1</v>
      </c>
      <c r="D14" s="48">
        <v>42979</v>
      </c>
      <c r="E14" s="49" t="s">
        <v>51</v>
      </c>
      <c r="F14" s="50">
        <v>1170.7</v>
      </c>
      <c r="G14" s="50"/>
      <c r="H14" s="77">
        <f t="shared" si="3"/>
        <v>0</v>
      </c>
      <c r="I14" s="49"/>
      <c r="J14" s="49"/>
      <c r="K14" s="85"/>
      <c r="L14" s="78"/>
      <c r="M14" s="15"/>
      <c r="N14" s="36"/>
    </row>
    <row r="15" spans="1:26" ht="12.75" customHeight="1" x14ac:dyDescent="0.25">
      <c r="A15" s="42">
        <f t="shared" si="0"/>
        <v>10</v>
      </c>
      <c r="B15" s="42">
        <f t="shared" si="2"/>
        <v>2017</v>
      </c>
      <c r="C15" s="42" t="str">
        <f t="shared" si="1"/>
        <v>Rent: 1</v>
      </c>
      <c r="D15" s="43" t="str">
        <f>MONTH(D14)+1 &amp; "/1/" &amp; YEAR(D14)</f>
        <v>10/1/2017</v>
      </c>
      <c r="E15" s="44" t="str">
        <f>"Rent: "&amp;LOOKUP(A15-1, Months, TextMonths)&amp;" '"&amp;B15</f>
        <v>Rent: Oct '2017</v>
      </c>
      <c r="F15" s="45"/>
      <c r="G15" s="45">
        <f>1170/1.018</f>
        <v>1149.312377210216</v>
      </c>
      <c r="H15" s="74">
        <f t="shared" si="3"/>
        <v>1149.312377210216</v>
      </c>
      <c r="I15" s="33"/>
      <c r="J15" s="33"/>
      <c r="K15" s="88"/>
      <c r="L15" s="75"/>
    </row>
    <row r="16" spans="1:26" ht="12.75" customHeight="1" x14ac:dyDescent="0.25">
      <c r="A16" s="37">
        <f t="shared" si="0"/>
        <v>10</v>
      </c>
      <c r="B16" s="37">
        <f t="shared" si="2"/>
        <v>2017</v>
      </c>
      <c r="C16" s="37" t="str">
        <f t="shared" si="1"/>
        <v>Priv Tax: 1</v>
      </c>
      <c r="D16" s="40" t="str">
        <f>D15</f>
        <v>10/1/2017</v>
      </c>
      <c r="E16" s="39" t="str">
        <f>"Tax: "&amp;LOOKUP(A16-1, Months, TextMonths)&amp;" '"&amp;B16</f>
        <v>Tax: Oct '2017</v>
      </c>
      <c r="F16" s="36"/>
      <c r="G16" s="36">
        <f>G15*0.018</f>
        <v>20.687622789783887</v>
      </c>
      <c r="H16" s="38">
        <f t="shared" si="3"/>
        <v>1170</v>
      </c>
      <c r="L16" s="71"/>
    </row>
    <row r="17" spans="1:14" ht="12.75" customHeight="1" x14ac:dyDescent="0.25">
      <c r="A17" s="37">
        <f t="shared" si="0"/>
        <v>10</v>
      </c>
      <c r="B17" s="37">
        <f t="shared" si="2"/>
        <v>2017</v>
      </c>
      <c r="C17" s="37" t="str">
        <f t="shared" si="1"/>
        <v/>
      </c>
      <c r="D17" s="28">
        <v>43009</v>
      </c>
      <c r="E17" s="29" t="s">
        <v>46</v>
      </c>
      <c r="F17" s="36">
        <v>200</v>
      </c>
      <c r="G17" s="36"/>
      <c r="H17" s="38">
        <f t="shared" si="3"/>
        <v>970</v>
      </c>
      <c r="L17" s="71"/>
      <c r="M17" s="15"/>
      <c r="N17" s="36"/>
    </row>
    <row r="18" spans="1:14" ht="12.75" customHeight="1" x14ac:dyDescent="0.25">
      <c r="A18" s="37">
        <f t="shared" si="0"/>
        <v>10</v>
      </c>
      <c r="B18" s="37">
        <f t="shared" si="2"/>
        <v>2017</v>
      </c>
      <c r="C18" s="37" t="str">
        <f t="shared" si="1"/>
        <v/>
      </c>
      <c r="D18" s="28">
        <v>43009</v>
      </c>
      <c r="E18" s="29" t="s">
        <v>46</v>
      </c>
      <c r="F18" s="36">
        <v>40</v>
      </c>
      <c r="G18" s="36"/>
      <c r="H18" s="38">
        <f t="shared" si="3"/>
        <v>930</v>
      </c>
      <c r="L18" s="71"/>
      <c r="M18" s="15"/>
      <c r="N18" s="36"/>
    </row>
    <row r="19" spans="1:14" ht="12.75" customHeight="1" x14ac:dyDescent="0.25">
      <c r="A19" s="37">
        <f t="shared" si="0"/>
        <v>10</v>
      </c>
      <c r="B19" s="37">
        <f t="shared" si="2"/>
        <v>2017</v>
      </c>
      <c r="C19" s="37" t="str">
        <f t="shared" si="1"/>
        <v>Income: 1</v>
      </c>
      <c r="D19" s="28">
        <v>43012</v>
      </c>
      <c r="E19" s="29" t="s">
        <v>51</v>
      </c>
      <c r="F19" s="36">
        <v>910</v>
      </c>
      <c r="G19" s="36"/>
      <c r="H19" s="38">
        <f t="shared" si="3"/>
        <v>20</v>
      </c>
      <c r="K19" s="15"/>
      <c r="L19" s="71"/>
      <c r="M19" s="15"/>
      <c r="N19" s="36"/>
    </row>
    <row r="20" spans="1:14" ht="12.75" customHeight="1" x14ac:dyDescent="0.25">
      <c r="A20" s="37">
        <f t="shared" si="0"/>
        <v>11</v>
      </c>
      <c r="B20" s="37">
        <f t="shared" si="2"/>
        <v>2017</v>
      </c>
      <c r="C20" s="37" t="str">
        <f t="shared" si="1"/>
        <v>Rent: 1</v>
      </c>
      <c r="D20" s="40" t="str">
        <f>MONTH(D19)+1 &amp; "/1/" &amp; YEAR(D19)</f>
        <v>11/1/2017</v>
      </c>
      <c r="E20" s="39" t="str">
        <f>"Rent: "&amp;LOOKUP(A20-1, Months, TextMonths)&amp;" '"&amp;B20</f>
        <v>Rent: Nov '2017</v>
      </c>
      <c r="F20" s="36"/>
      <c r="G20" s="36">
        <v>1149.31</v>
      </c>
      <c r="H20" s="38">
        <f t="shared" si="3"/>
        <v>1169.31</v>
      </c>
      <c r="K20" s="15"/>
      <c r="L20" s="71"/>
    </row>
    <row r="21" spans="1:14" ht="12.75" customHeight="1" x14ac:dyDescent="0.25">
      <c r="A21" s="37">
        <f t="shared" si="0"/>
        <v>11</v>
      </c>
      <c r="B21" s="37">
        <f t="shared" si="2"/>
        <v>2017</v>
      </c>
      <c r="C21" s="37" t="str">
        <f t="shared" si="1"/>
        <v>Priv Tax: 1</v>
      </c>
      <c r="D21" s="40" t="str">
        <f>D20</f>
        <v>11/1/2017</v>
      </c>
      <c r="E21" s="39" t="str">
        <f>"Tax: "&amp;LOOKUP(A21-1, Months, TextMonths)&amp;" '"&amp;B21</f>
        <v>Tax: Nov '2017</v>
      </c>
      <c r="F21" s="36"/>
      <c r="G21" s="36">
        <v>20.69</v>
      </c>
      <c r="H21" s="38">
        <f t="shared" si="3"/>
        <v>1190</v>
      </c>
      <c r="I21" s="30"/>
      <c r="K21" s="15"/>
      <c r="L21" s="71"/>
    </row>
    <row r="22" spans="1:14" ht="12.75" customHeight="1" x14ac:dyDescent="0.25">
      <c r="A22" s="37">
        <f t="shared" si="0"/>
        <v>11</v>
      </c>
      <c r="B22" s="37">
        <f t="shared" si="2"/>
        <v>2017</v>
      </c>
      <c r="C22" s="37" t="str">
        <f t="shared" si="1"/>
        <v>Income: 1</v>
      </c>
      <c r="D22" s="28">
        <v>43042</v>
      </c>
      <c r="E22" s="29" t="s">
        <v>51</v>
      </c>
      <c r="F22" s="36">
        <v>1170</v>
      </c>
      <c r="G22" s="36"/>
      <c r="H22" s="38">
        <f t="shared" ref="H22:H53" si="4">H21+G22-F22</f>
        <v>20</v>
      </c>
      <c r="I22" s="36"/>
      <c r="L22" s="71"/>
      <c r="M22" s="15"/>
      <c r="N22" s="36"/>
    </row>
    <row r="23" spans="1:14" ht="12.75" customHeight="1" x14ac:dyDescent="0.25">
      <c r="A23" s="37">
        <f t="shared" si="0"/>
        <v>12</v>
      </c>
      <c r="B23" s="37">
        <f t="shared" si="2"/>
        <v>2017</v>
      </c>
      <c r="C23" s="37" t="str">
        <f t="shared" si="1"/>
        <v>Rent: 1</v>
      </c>
      <c r="D23" s="40" t="str">
        <f>MONTH(D22)+1 &amp; "/1/" &amp; YEAR(D22)</f>
        <v>12/1/2017</v>
      </c>
      <c r="E23" s="39" t="str">
        <f>"Rent: "&amp;LOOKUP(A23-1, Months, TextMonths)&amp;" '"&amp;B23</f>
        <v>Rent: Dec '2017</v>
      </c>
      <c r="F23" s="36"/>
      <c r="G23" s="36">
        <v>1149.31</v>
      </c>
      <c r="H23" s="38">
        <f t="shared" si="4"/>
        <v>1169.31</v>
      </c>
      <c r="L23" s="71"/>
    </row>
    <row r="24" spans="1:14" ht="12.75" customHeight="1" x14ac:dyDescent="0.25">
      <c r="A24" s="37">
        <f t="shared" si="0"/>
        <v>12</v>
      </c>
      <c r="B24" s="37">
        <f t="shared" si="2"/>
        <v>2017</v>
      </c>
      <c r="C24" s="37" t="str">
        <f t="shared" si="1"/>
        <v>Priv Tax: 1</v>
      </c>
      <c r="D24" s="40" t="str">
        <f>D23</f>
        <v>12/1/2017</v>
      </c>
      <c r="E24" s="39" t="str">
        <f>"Tax: "&amp;LOOKUP(A24-1, Months, TextMonths)&amp;" '"&amp;B24</f>
        <v>Tax: Dec '2017</v>
      </c>
      <c r="F24" s="36"/>
      <c r="G24" s="36">
        <v>20.69</v>
      </c>
      <c r="H24" s="38">
        <f t="shared" si="4"/>
        <v>1190</v>
      </c>
      <c r="I24" s="32"/>
      <c r="J24" s="32"/>
      <c r="L24" s="71"/>
    </row>
    <row r="25" spans="1:14" ht="12.75" customHeight="1" x14ac:dyDescent="0.25">
      <c r="A25" s="37">
        <f t="shared" si="0"/>
        <v>12</v>
      </c>
      <c r="B25" s="37">
        <f t="shared" si="2"/>
        <v>2017</v>
      </c>
      <c r="C25" s="37" t="str">
        <f t="shared" si="1"/>
        <v>Income: 1</v>
      </c>
      <c r="D25" s="28">
        <v>43070</v>
      </c>
      <c r="E25" s="29" t="s">
        <v>51</v>
      </c>
      <c r="F25" s="36">
        <v>1070</v>
      </c>
      <c r="G25" s="36"/>
      <c r="H25" s="38">
        <f t="shared" si="4"/>
        <v>120</v>
      </c>
      <c r="I25" s="36"/>
      <c r="J25" s="36"/>
      <c r="L25" s="71"/>
    </row>
    <row r="26" spans="1:14" ht="12.75" customHeight="1" thickBot="1" x14ac:dyDescent="0.3">
      <c r="A26" s="47">
        <f t="shared" si="0"/>
        <v>12</v>
      </c>
      <c r="B26" s="47">
        <f t="shared" si="2"/>
        <v>2017</v>
      </c>
      <c r="C26" s="47" t="str">
        <f t="shared" si="1"/>
        <v>Income: 1</v>
      </c>
      <c r="D26" s="48">
        <v>43084</v>
      </c>
      <c r="E26" s="49" t="s">
        <v>51</v>
      </c>
      <c r="F26" s="50">
        <v>120</v>
      </c>
      <c r="G26" s="50"/>
      <c r="H26" s="77">
        <f t="shared" si="4"/>
        <v>0</v>
      </c>
      <c r="I26" s="49"/>
      <c r="J26" s="49"/>
      <c r="K26" s="49"/>
      <c r="L26" s="78"/>
    </row>
    <row r="27" spans="1:14" ht="12.75" customHeight="1" x14ac:dyDescent="0.25">
      <c r="A27" s="42">
        <f t="shared" si="0"/>
        <v>1</v>
      </c>
      <c r="B27" s="42">
        <f t="shared" si="2"/>
        <v>2018</v>
      </c>
      <c r="C27" s="42" t="str">
        <f t="shared" si="1"/>
        <v>Rent: 1</v>
      </c>
      <c r="D27" s="43" t="str">
        <f>MOD(MONTH(D26)+1, 12) &amp; "/1/" &amp; YEAR(D26)+1</f>
        <v>1/1/2018</v>
      </c>
      <c r="E27" s="44" t="str">
        <f>"Rent: "&amp;LOOKUP(A27-1, Months, TextMonths)&amp;" '"&amp;B27</f>
        <v>Rent: Jan '2018</v>
      </c>
      <c r="F27" s="45"/>
      <c r="G27" s="45">
        <v>1149.31</v>
      </c>
      <c r="H27" s="74">
        <f t="shared" si="4"/>
        <v>1149.31</v>
      </c>
      <c r="I27" s="33"/>
      <c r="J27" s="33"/>
      <c r="K27" s="33"/>
      <c r="L27" s="75"/>
    </row>
    <row r="28" spans="1:14" ht="12.75" customHeight="1" x14ac:dyDescent="0.25">
      <c r="A28" s="37">
        <f t="shared" si="0"/>
        <v>1</v>
      </c>
      <c r="B28" s="37">
        <f t="shared" si="2"/>
        <v>2018</v>
      </c>
      <c r="C28" s="37" t="str">
        <f t="shared" si="1"/>
        <v>Priv Tax: 1</v>
      </c>
      <c r="D28" s="40" t="str">
        <f>D27</f>
        <v>1/1/2018</v>
      </c>
      <c r="E28" s="39" t="str">
        <f>"Tax: "&amp;LOOKUP(A28-1, Months, TextMonths)&amp;" '"&amp;B28</f>
        <v>Tax: Jan '2018</v>
      </c>
      <c r="F28" s="36"/>
      <c r="G28" s="36">
        <v>20.69</v>
      </c>
      <c r="H28" s="38">
        <f t="shared" si="4"/>
        <v>1170</v>
      </c>
      <c r="L28" s="71"/>
    </row>
    <row r="29" spans="1:14" ht="12.75" customHeight="1" x14ac:dyDescent="0.25">
      <c r="A29" s="37">
        <f t="shared" si="0"/>
        <v>1</v>
      </c>
      <c r="B29" s="37">
        <f t="shared" si="2"/>
        <v>2018</v>
      </c>
      <c r="C29" s="37" t="str">
        <f t="shared" si="1"/>
        <v>Income: 1</v>
      </c>
      <c r="D29" s="28">
        <v>43104</v>
      </c>
      <c r="E29" s="29" t="s">
        <v>51</v>
      </c>
      <c r="F29" s="36">
        <v>1170</v>
      </c>
      <c r="G29" s="36"/>
      <c r="H29" s="38">
        <f t="shared" si="4"/>
        <v>0</v>
      </c>
      <c r="L29" s="71"/>
    </row>
    <row r="30" spans="1:14" ht="12.75" customHeight="1" x14ac:dyDescent="0.25">
      <c r="A30" s="37">
        <f t="shared" si="0"/>
        <v>2</v>
      </c>
      <c r="B30" s="37">
        <f t="shared" si="2"/>
        <v>2018</v>
      </c>
      <c r="C30" s="37" t="str">
        <f t="shared" si="1"/>
        <v>Rent: 1</v>
      </c>
      <c r="D30" s="40" t="str">
        <f>MONTH(D29)+1 &amp; "/1/" &amp; YEAR(D29)</f>
        <v>2/1/2018</v>
      </c>
      <c r="E30" s="39" t="str">
        <f>"Rent: "&amp;LOOKUP(A30-1, Months, TextMonths)&amp;" '"&amp;B30</f>
        <v>Rent: Feb '2018</v>
      </c>
      <c r="F30" s="36"/>
      <c r="G30" s="36">
        <v>1149.31</v>
      </c>
      <c r="H30" s="38">
        <f t="shared" si="4"/>
        <v>1149.31</v>
      </c>
      <c r="L30" s="71"/>
    </row>
    <row r="31" spans="1:14" ht="12.75" customHeight="1" x14ac:dyDescent="0.25">
      <c r="A31" s="37">
        <f t="shared" si="0"/>
        <v>2</v>
      </c>
      <c r="B31" s="37">
        <f t="shared" si="2"/>
        <v>2018</v>
      </c>
      <c r="C31" s="37" t="str">
        <f t="shared" si="1"/>
        <v>Priv Tax: 1</v>
      </c>
      <c r="D31" s="40" t="str">
        <f>D30</f>
        <v>2/1/2018</v>
      </c>
      <c r="E31" s="39" t="str">
        <f>"Tax: "&amp;LOOKUP(A31-1, Months, TextMonths)&amp;" '"&amp;B31</f>
        <v>Tax: Feb '2018</v>
      </c>
      <c r="F31" s="36"/>
      <c r="G31" s="36">
        <v>20.69</v>
      </c>
      <c r="H31" s="38">
        <f t="shared" si="4"/>
        <v>1170</v>
      </c>
      <c r="L31" s="71"/>
    </row>
    <row r="32" spans="1:14" ht="12.75" customHeight="1" x14ac:dyDescent="0.25">
      <c r="A32" s="37">
        <f t="shared" si="0"/>
        <v>2</v>
      </c>
      <c r="B32" s="37">
        <f t="shared" si="2"/>
        <v>2018</v>
      </c>
      <c r="C32" s="37" t="str">
        <f t="shared" si="1"/>
        <v>Income: 1</v>
      </c>
      <c r="D32" s="28">
        <v>43136</v>
      </c>
      <c r="E32" s="29" t="s">
        <v>51</v>
      </c>
      <c r="F32" s="36">
        <v>1170</v>
      </c>
      <c r="G32" s="36"/>
      <c r="H32" s="38">
        <f t="shared" si="4"/>
        <v>0</v>
      </c>
      <c r="L32" s="71"/>
    </row>
    <row r="33" spans="1:12" ht="12.75" customHeight="1" x14ac:dyDescent="0.25">
      <c r="A33" s="37">
        <f t="shared" si="0"/>
        <v>3</v>
      </c>
      <c r="B33" s="37">
        <f t="shared" si="2"/>
        <v>2018</v>
      </c>
      <c r="C33" s="37" t="str">
        <f t="shared" si="1"/>
        <v>Rent: 1</v>
      </c>
      <c r="D33" s="40" t="str">
        <f>MONTH(D32)+1 &amp; "/1/" &amp; YEAR(D32)</f>
        <v>3/1/2018</v>
      </c>
      <c r="E33" s="39" t="str">
        <f>"Rent: "&amp;LOOKUP(A33-1, Months, TextMonths)&amp;" '"&amp;B33</f>
        <v>Rent: Mar '2018</v>
      </c>
      <c r="F33" s="36"/>
      <c r="G33" s="36">
        <v>1149.31</v>
      </c>
      <c r="H33" s="38">
        <f t="shared" si="4"/>
        <v>1149.31</v>
      </c>
      <c r="I33" s="32"/>
      <c r="J33" s="32"/>
      <c r="L33" s="71"/>
    </row>
    <row r="34" spans="1:12" ht="12.75" customHeight="1" x14ac:dyDescent="0.25">
      <c r="A34" s="37">
        <f t="shared" si="0"/>
        <v>3</v>
      </c>
      <c r="B34" s="37">
        <f t="shared" si="2"/>
        <v>2018</v>
      </c>
      <c r="C34" s="37" t="str">
        <f t="shared" si="1"/>
        <v>Priv Tax: 1</v>
      </c>
      <c r="D34" s="40" t="str">
        <f>D33</f>
        <v>3/1/2018</v>
      </c>
      <c r="E34" s="39" t="str">
        <f>"Tax: "&amp;LOOKUP(A34-1, Months, TextMonths)&amp;" '"&amp;B34</f>
        <v>Tax: Mar '2018</v>
      </c>
      <c r="F34" s="36"/>
      <c r="G34" s="36">
        <v>20.69</v>
      </c>
      <c r="H34" s="38">
        <f t="shared" si="4"/>
        <v>1170</v>
      </c>
      <c r="I34" s="36"/>
      <c r="J34" s="36"/>
      <c r="L34" s="71"/>
    </row>
    <row r="35" spans="1:12" ht="12.75" customHeight="1" thickBot="1" x14ac:dyDescent="0.3">
      <c r="A35" s="47">
        <f t="shared" si="0"/>
        <v>3</v>
      </c>
      <c r="B35" s="47">
        <f t="shared" si="2"/>
        <v>2018</v>
      </c>
      <c r="C35" s="47" t="str">
        <f t="shared" si="1"/>
        <v>Income: 1</v>
      </c>
      <c r="D35" s="48">
        <v>43160</v>
      </c>
      <c r="E35" s="49" t="s">
        <v>51</v>
      </c>
      <c r="F35" s="50">
        <v>1170</v>
      </c>
      <c r="G35" s="50"/>
      <c r="H35" s="77">
        <f t="shared" si="4"/>
        <v>0</v>
      </c>
      <c r="I35" s="49"/>
      <c r="J35" s="49"/>
      <c r="K35" s="49"/>
      <c r="L35" s="78"/>
    </row>
    <row r="36" spans="1:12" ht="12.75" customHeight="1" x14ac:dyDescent="0.25">
      <c r="A36" s="42">
        <f t="shared" si="0"/>
        <v>4</v>
      </c>
      <c r="B36" s="42">
        <f t="shared" si="2"/>
        <v>2018</v>
      </c>
      <c r="C36" s="42" t="str">
        <f t="shared" si="1"/>
        <v>Rent: 1</v>
      </c>
      <c r="D36" s="43" t="str">
        <f>MONTH(D35)+1 &amp; "/1/" &amp; YEAR(D35)</f>
        <v>4/1/2018</v>
      </c>
      <c r="E36" s="44" t="str">
        <f>"Rent: "&amp;LOOKUP(A36-1, Months, TextMonths)&amp;" '"&amp;B36</f>
        <v>Rent: Apr '2018</v>
      </c>
      <c r="F36" s="45"/>
      <c r="G36" s="45">
        <v>1149.31</v>
      </c>
      <c r="H36" s="74">
        <f t="shared" si="4"/>
        <v>1149.31</v>
      </c>
      <c r="I36" s="33"/>
      <c r="J36" s="33"/>
      <c r="K36" s="33"/>
      <c r="L36" s="75"/>
    </row>
    <row r="37" spans="1:12" ht="12.75" customHeight="1" x14ac:dyDescent="0.25">
      <c r="A37" s="37">
        <f t="shared" si="0"/>
        <v>4</v>
      </c>
      <c r="B37" s="37">
        <f t="shared" si="2"/>
        <v>2018</v>
      </c>
      <c r="C37" s="37" t="str">
        <f t="shared" si="1"/>
        <v>Priv Tax: 1</v>
      </c>
      <c r="D37" s="40" t="str">
        <f>D36</f>
        <v>4/1/2018</v>
      </c>
      <c r="E37" s="39" t="str">
        <f>"Tax: "&amp;LOOKUP(A37-1, Months, TextMonths)&amp;" '"&amp;B37</f>
        <v>Tax: Apr '2018</v>
      </c>
      <c r="F37" s="36"/>
      <c r="G37" s="36">
        <v>20.69</v>
      </c>
      <c r="H37" s="38">
        <f t="shared" si="4"/>
        <v>1170</v>
      </c>
      <c r="L37" s="71"/>
    </row>
    <row r="38" spans="1:12" ht="12.75" customHeight="1" x14ac:dyDescent="0.25">
      <c r="A38" s="37">
        <f t="shared" si="0"/>
        <v>4</v>
      </c>
      <c r="B38" s="37">
        <f t="shared" si="2"/>
        <v>2018</v>
      </c>
      <c r="C38" s="37" t="str">
        <f t="shared" si="1"/>
        <v>Income: 1</v>
      </c>
      <c r="D38" s="28">
        <v>43192</v>
      </c>
      <c r="E38" s="29" t="s">
        <v>51</v>
      </c>
      <c r="F38" s="36">
        <v>1170</v>
      </c>
      <c r="G38" s="36"/>
      <c r="H38" s="38">
        <f t="shared" si="4"/>
        <v>0</v>
      </c>
      <c r="L38" s="71"/>
    </row>
    <row r="39" spans="1:12" ht="12.75" customHeight="1" x14ac:dyDescent="0.25">
      <c r="A39" s="37">
        <f t="shared" si="0"/>
        <v>5</v>
      </c>
      <c r="B39" s="37">
        <f t="shared" si="2"/>
        <v>2018</v>
      </c>
      <c r="C39" s="37" t="str">
        <f t="shared" si="1"/>
        <v>Rent: 1</v>
      </c>
      <c r="D39" s="40" t="str">
        <f>MONTH(D38)+1 &amp; "/1/" &amp; YEAR(D38)</f>
        <v>5/1/2018</v>
      </c>
      <c r="E39" s="39" t="str">
        <f>"Rent: "&amp;LOOKUP(A39-1, Months, TextMonths)&amp;" '"&amp;B39</f>
        <v>Rent: May '2018</v>
      </c>
      <c r="F39" s="36"/>
      <c r="G39" s="36">
        <v>1149.31</v>
      </c>
      <c r="H39" s="38">
        <f t="shared" si="4"/>
        <v>1149.31</v>
      </c>
      <c r="L39" s="71"/>
    </row>
    <row r="40" spans="1:12" ht="12.75" customHeight="1" x14ac:dyDescent="0.25">
      <c r="A40" s="37">
        <f t="shared" si="0"/>
        <v>5</v>
      </c>
      <c r="B40" s="37">
        <f t="shared" si="2"/>
        <v>2018</v>
      </c>
      <c r="C40" s="37" t="str">
        <f t="shared" si="1"/>
        <v>Priv Tax: 1</v>
      </c>
      <c r="D40" s="40" t="str">
        <f>D39</f>
        <v>5/1/2018</v>
      </c>
      <c r="E40" s="39" t="str">
        <f>"Tax: "&amp;LOOKUP(A40-1, Months, TextMonths)&amp;" '"&amp;B40</f>
        <v>Tax: May '2018</v>
      </c>
      <c r="F40" s="36"/>
      <c r="G40" s="36">
        <v>20.69</v>
      </c>
      <c r="H40" s="38">
        <f t="shared" si="4"/>
        <v>1170</v>
      </c>
      <c r="L40" s="71"/>
    </row>
    <row r="41" spans="1:12" ht="12.75" customHeight="1" x14ac:dyDescent="0.25">
      <c r="A41" s="37">
        <f t="shared" si="0"/>
        <v>5</v>
      </c>
      <c r="B41" s="37">
        <f t="shared" si="2"/>
        <v>2018</v>
      </c>
      <c r="C41" s="37" t="str">
        <f t="shared" si="1"/>
        <v>Income: 1</v>
      </c>
      <c r="D41" s="28">
        <v>43222</v>
      </c>
      <c r="E41" s="29" t="s">
        <v>51</v>
      </c>
      <c r="F41" s="36">
        <v>1170</v>
      </c>
      <c r="G41" s="36"/>
      <c r="H41" s="38">
        <f t="shared" si="4"/>
        <v>0</v>
      </c>
      <c r="L41" s="71"/>
    </row>
    <row r="42" spans="1:12" ht="12.75" customHeight="1" x14ac:dyDescent="0.25">
      <c r="A42" s="37">
        <f t="shared" si="0"/>
        <v>6</v>
      </c>
      <c r="B42" s="37">
        <f t="shared" si="2"/>
        <v>2018</v>
      </c>
      <c r="C42" s="37" t="str">
        <f t="shared" si="1"/>
        <v>Rent: 1</v>
      </c>
      <c r="D42" s="40" t="str">
        <f>MONTH(D41)+1 &amp; "/1/" &amp; YEAR(D41)</f>
        <v>6/1/2018</v>
      </c>
      <c r="E42" s="39" t="str">
        <f>"Rent: "&amp;LOOKUP(A42-1, Months, TextMonths)&amp;" '"&amp;B42</f>
        <v>Rent: Jun '2018</v>
      </c>
      <c r="F42" s="36"/>
      <c r="G42" s="36">
        <v>1149.31</v>
      </c>
      <c r="H42" s="38">
        <f t="shared" si="4"/>
        <v>1149.31</v>
      </c>
      <c r="I42" s="32"/>
      <c r="J42" s="32"/>
      <c r="L42" s="71"/>
    </row>
    <row r="43" spans="1:12" ht="12.75" customHeight="1" x14ac:dyDescent="0.25">
      <c r="A43" s="37">
        <f t="shared" si="0"/>
        <v>6</v>
      </c>
      <c r="B43" s="37">
        <f t="shared" si="2"/>
        <v>2018</v>
      </c>
      <c r="C43" s="37" t="str">
        <f t="shared" si="1"/>
        <v>Priv Tax: 1</v>
      </c>
      <c r="D43" s="40" t="str">
        <f>D42</f>
        <v>6/1/2018</v>
      </c>
      <c r="E43" s="39" t="str">
        <f>"Tax: "&amp;LOOKUP(A43-1, Months, TextMonths)&amp;" '"&amp;B43</f>
        <v>Tax: Jun '2018</v>
      </c>
      <c r="F43" s="36"/>
      <c r="G43" s="36">
        <v>20.69</v>
      </c>
      <c r="H43" s="38">
        <f t="shared" si="4"/>
        <v>1170</v>
      </c>
      <c r="I43" s="36"/>
      <c r="J43" s="36"/>
      <c r="L43" s="71"/>
    </row>
    <row r="44" spans="1:12" ht="12.75" customHeight="1" thickBot="1" x14ac:dyDescent="0.3">
      <c r="A44" s="47">
        <f t="shared" si="0"/>
        <v>6</v>
      </c>
      <c r="B44" s="47">
        <f t="shared" si="2"/>
        <v>2018</v>
      </c>
      <c r="C44" s="47" t="str">
        <f t="shared" si="1"/>
        <v>Income: 1</v>
      </c>
      <c r="D44" s="48">
        <v>43252</v>
      </c>
      <c r="E44" s="49" t="s">
        <v>51</v>
      </c>
      <c r="F44" s="50">
        <v>1170</v>
      </c>
      <c r="G44" s="50"/>
      <c r="H44" s="77">
        <f t="shared" si="4"/>
        <v>0</v>
      </c>
      <c r="I44" s="49"/>
      <c r="J44" s="49"/>
      <c r="K44" s="49"/>
      <c r="L44" s="78"/>
    </row>
    <row r="45" spans="1:12" ht="12.75" customHeight="1" x14ac:dyDescent="0.25">
      <c r="A45" s="42">
        <f t="shared" si="0"/>
        <v>7</v>
      </c>
      <c r="B45" s="42">
        <f t="shared" si="2"/>
        <v>2018</v>
      </c>
      <c r="C45" s="42" t="str">
        <f t="shared" si="1"/>
        <v>Rent: 1</v>
      </c>
      <c r="D45" s="43" t="str">
        <f>MONTH(D44)+1 &amp; "/1/" &amp; YEAR(D44)</f>
        <v>7/1/2018</v>
      </c>
      <c r="E45" s="44" t="str">
        <f>"Rent: "&amp;LOOKUP(A45-1, Months, TextMonths)&amp;" '"&amp;B45</f>
        <v>Rent: Jul '2018</v>
      </c>
      <c r="F45" s="45"/>
      <c r="G45" s="45">
        <v>1149.31</v>
      </c>
      <c r="H45" s="74">
        <f t="shared" si="4"/>
        <v>1149.31</v>
      </c>
      <c r="I45" s="33"/>
      <c r="J45" s="33"/>
      <c r="K45" s="33"/>
      <c r="L45" s="75"/>
    </row>
    <row r="46" spans="1:12" ht="12.75" customHeight="1" x14ac:dyDescent="0.25">
      <c r="A46" s="37">
        <f t="shared" si="0"/>
        <v>7</v>
      </c>
      <c r="B46" s="37">
        <f t="shared" si="2"/>
        <v>2018</v>
      </c>
      <c r="C46" s="37" t="str">
        <f t="shared" si="1"/>
        <v>Priv Tax: 1</v>
      </c>
      <c r="D46" s="40" t="str">
        <f>D45</f>
        <v>7/1/2018</v>
      </c>
      <c r="E46" s="39" t="str">
        <f>"Tax: "&amp;LOOKUP(A46-1, Months, TextMonths)&amp;" '"&amp;B46</f>
        <v>Tax: Jul '2018</v>
      </c>
      <c r="F46" s="36"/>
      <c r="G46" s="36">
        <v>20.69</v>
      </c>
      <c r="H46" s="38">
        <f t="shared" si="4"/>
        <v>1170</v>
      </c>
      <c r="L46" s="71"/>
    </row>
    <row r="47" spans="1:12" ht="12.75" customHeight="1" x14ac:dyDescent="0.25">
      <c r="A47" s="37">
        <f t="shared" si="0"/>
        <v>7</v>
      </c>
      <c r="B47" s="37">
        <f t="shared" si="2"/>
        <v>2018</v>
      </c>
      <c r="C47" s="37" t="str">
        <f t="shared" si="1"/>
        <v>Income: 1</v>
      </c>
      <c r="D47" s="28">
        <v>43283</v>
      </c>
      <c r="E47" s="29" t="s">
        <v>51</v>
      </c>
      <c r="F47" s="36">
        <v>1170</v>
      </c>
      <c r="G47" s="36"/>
      <c r="H47" s="38">
        <f t="shared" si="4"/>
        <v>0</v>
      </c>
      <c r="L47" s="71"/>
    </row>
    <row r="48" spans="1:12" ht="12.75" customHeight="1" x14ac:dyDescent="0.25">
      <c r="A48" s="37">
        <f t="shared" si="0"/>
        <v>8</v>
      </c>
      <c r="B48" s="37">
        <f t="shared" si="2"/>
        <v>2018</v>
      </c>
      <c r="C48" s="37" t="str">
        <f t="shared" si="1"/>
        <v>Rent: 1</v>
      </c>
      <c r="D48" s="40" t="str">
        <f>MONTH(D47)+1 &amp; "/1/" &amp; YEAR(D47)</f>
        <v>8/1/2018</v>
      </c>
      <c r="E48" s="39" t="str">
        <f>"Rent: "&amp;LOOKUP(A48-1, Months, TextMonths)&amp;" '"&amp;B48</f>
        <v>Rent: Aug '2018</v>
      </c>
      <c r="F48" s="36"/>
      <c r="G48" s="36">
        <v>1149.31</v>
      </c>
      <c r="H48" s="38">
        <f t="shared" si="4"/>
        <v>1149.31</v>
      </c>
      <c r="L48" s="71"/>
    </row>
    <row r="49" spans="1:12" ht="12.75" customHeight="1" x14ac:dyDescent="0.25">
      <c r="A49" s="37">
        <f t="shared" si="0"/>
        <v>8</v>
      </c>
      <c r="B49" s="37">
        <f t="shared" si="2"/>
        <v>2018</v>
      </c>
      <c r="C49" s="37" t="str">
        <f t="shared" si="1"/>
        <v>Priv Tax: 1</v>
      </c>
      <c r="D49" s="40" t="str">
        <f>D48</f>
        <v>8/1/2018</v>
      </c>
      <c r="E49" s="39" t="str">
        <f>"Tax: "&amp;LOOKUP(A49-1, Months, TextMonths)&amp;" '"&amp;B49</f>
        <v>Tax: Aug '2018</v>
      </c>
      <c r="F49" s="36"/>
      <c r="G49" s="36">
        <v>20.69</v>
      </c>
      <c r="H49" s="38">
        <f t="shared" si="4"/>
        <v>1170</v>
      </c>
      <c r="L49" s="71"/>
    </row>
    <row r="50" spans="1:12" ht="12.75" customHeight="1" x14ac:dyDescent="0.25">
      <c r="A50" s="37">
        <f t="shared" si="0"/>
        <v>8</v>
      </c>
      <c r="B50" s="37">
        <f t="shared" si="2"/>
        <v>2018</v>
      </c>
      <c r="C50" s="37" t="str">
        <f t="shared" si="1"/>
        <v>Income: 1</v>
      </c>
      <c r="D50" s="28">
        <v>43313</v>
      </c>
      <c r="E50" s="29" t="s">
        <v>51</v>
      </c>
      <c r="F50" s="36">
        <v>1170</v>
      </c>
      <c r="G50" s="36"/>
      <c r="H50" s="38">
        <f t="shared" si="4"/>
        <v>0</v>
      </c>
      <c r="L50" s="71"/>
    </row>
    <row r="51" spans="1:12" ht="12.75" customHeight="1" x14ac:dyDescent="0.25">
      <c r="A51" s="37">
        <f t="shared" si="0"/>
        <v>9</v>
      </c>
      <c r="B51" s="37">
        <f t="shared" si="2"/>
        <v>2018</v>
      </c>
      <c r="C51" s="37" t="str">
        <f t="shared" si="1"/>
        <v>Rent: 1</v>
      </c>
      <c r="D51" s="40" t="str">
        <f>MONTH(D50)+1 &amp; "/1/" &amp; YEAR(D50)</f>
        <v>9/1/2018</v>
      </c>
      <c r="E51" s="39" t="str">
        <f>"Rent: "&amp;LOOKUP(A51-1, Months, TextMonths)&amp;" '"&amp;B51</f>
        <v>Rent: Sep '2018</v>
      </c>
      <c r="F51" s="36"/>
      <c r="G51" s="36">
        <v>1149.31</v>
      </c>
      <c r="H51" s="38">
        <f t="shared" si="4"/>
        <v>1149.31</v>
      </c>
      <c r="I51" s="32"/>
      <c r="J51" s="32"/>
      <c r="L51" s="71"/>
    </row>
    <row r="52" spans="1:12" ht="12.75" customHeight="1" x14ac:dyDescent="0.25">
      <c r="A52" s="37">
        <f t="shared" si="0"/>
        <v>9</v>
      </c>
      <c r="B52" s="37">
        <f t="shared" si="2"/>
        <v>2018</v>
      </c>
      <c r="C52" s="37" t="str">
        <f t="shared" si="1"/>
        <v>Priv Tax: 1</v>
      </c>
      <c r="D52" s="40" t="str">
        <f>D51</f>
        <v>9/1/2018</v>
      </c>
      <c r="E52" s="39" t="str">
        <f>"Tax: "&amp;LOOKUP(A52-1, Months, TextMonths)&amp;" '"&amp;B52</f>
        <v>Tax: Sep '2018</v>
      </c>
      <c r="F52" s="36"/>
      <c r="G52" s="36">
        <v>20.69</v>
      </c>
      <c r="H52" s="38">
        <f t="shared" si="4"/>
        <v>1170</v>
      </c>
      <c r="I52" s="36"/>
      <c r="J52" s="36"/>
      <c r="L52" s="71"/>
    </row>
    <row r="53" spans="1:12" ht="12.75" customHeight="1" thickBot="1" x14ac:dyDescent="0.3">
      <c r="A53" s="47">
        <f t="shared" si="0"/>
        <v>8</v>
      </c>
      <c r="B53" s="47">
        <f t="shared" si="2"/>
        <v>2018</v>
      </c>
      <c r="C53" s="47" t="str">
        <f t="shared" si="1"/>
        <v>Income: 1</v>
      </c>
      <c r="D53" s="48">
        <v>43343</v>
      </c>
      <c r="E53" s="49" t="s">
        <v>51</v>
      </c>
      <c r="F53" s="50">
        <v>1170</v>
      </c>
      <c r="G53" s="50"/>
      <c r="H53" s="77">
        <f t="shared" si="4"/>
        <v>0</v>
      </c>
      <c r="I53" s="49"/>
      <c r="J53" s="49"/>
      <c r="K53" s="49"/>
      <c r="L53" s="78"/>
    </row>
    <row r="54" spans="1:12" ht="12.75" customHeight="1" x14ac:dyDescent="0.25">
      <c r="A54" s="42">
        <f t="shared" si="0"/>
        <v>10</v>
      </c>
      <c r="B54" s="42">
        <f t="shared" si="2"/>
        <v>2018</v>
      </c>
      <c r="C54" s="42" t="str">
        <f t="shared" si="1"/>
        <v>Rent: 1</v>
      </c>
      <c r="D54" s="43" t="str">
        <f>MONTH(D52)+1 &amp; "/1/" &amp; YEAR(D53)</f>
        <v>10/1/2018</v>
      </c>
      <c r="E54" s="44" t="str">
        <f>"Rent: "&amp;LOOKUP(A54-1, Months, TextMonths)&amp;" '"&amp;B54</f>
        <v>Rent: Oct '2018</v>
      </c>
      <c r="F54" s="45"/>
      <c r="G54" s="45">
        <v>1149.31</v>
      </c>
      <c r="H54" s="74">
        <f t="shared" ref="H54:H85" si="5">H53+G54-F54</f>
        <v>1149.31</v>
      </c>
      <c r="I54" s="33"/>
      <c r="J54" s="33"/>
      <c r="K54" s="33"/>
      <c r="L54" s="75"/>
    </row>
    <row r="55" spans="1:12" ht="12.75" customHeight="1" x14ac:dyDescent="0.25">
      <c r="A55" s="37">
        <f t="shared" si="0"/>
        <v>10</v>
      </c>
      <c r="B55" s="37">
        <f t="shared" si="2"/>
        <v>2018</v>
      </c>
      <c r="C55" s="37" t="str">
        <f t="shared" si="1"/>
        <v>Priv Tax: 1</v>
      </c>
      <c r="D55" s="40" t="str">
        <f>D54</f>
        <v>10/1/2018</v>
      </c>
      <c r="E55" s="39" t="str">
        <f>"Tax: "&amp;LOOKUP(A55-1, Months, TextMonths)&amp;" '"&amp;B55</f>
        <v>Tax: Oct '2018</v>
      </c>
      <c r="F55" s="36"/>
      <c r="G55" s="36">
        <v>20.69</v>
      </c>
      <c r="H55" s="38">
        <f t="shared" si="5"/>
        <v>1170</v>
      </c>
      <c r="L55" s="71"/>
    </row>
    <row r="56" spans="1:12" ht="12.75" customHeight="1" x14ac:dyDescent="0.25">
      <c r="A56" s="37">
        <f t="shared" si="0"/>
        <v>10</v>
      </c>
      <c r="B56" s="37">
        <f t="shared" si="2"/>
        <v>2018</v>
      </c>
      <c r="C56" s="37" t="str">
        <f t="shared" si="1"/>
        <v>Income: 1</v>
      </c>
      <c r="D56" s="28">
        <v>43375</v>
      </c>
      <c r="E56" s="29" t="s">
        <v>51</v>
      </c>
      <c r="F56" s="36">
        <v>1170</v>
      </c>
      <c r="G56" s="36"/>
      <c r="H56" s="38">
        <f t="shared" si="5"/>
        <v>0</v>
      </c>
      <c r="L56" s="71"/>
    </row>
    <row r="57" spans="1:12" ht="12.75" customHeight="1" x14ac:dyDescent="0.25">
      <c r="A57" s="37">
        <f t="shared" si="0"/>
        <v>11</v>
      </c>
      <c r="B57" s="37">
        <f t="shared" si="2"/>
        <v>2018</v>
      </c>
      <c r="C57" s="37" t="str">
        <f t="shared" si="1"/>
        <v>Rent: 1</v>
      </c>
      <c r="D57" s="40" t="str">
        <f>MONTH(D56)+1 &amp; "/1/" &amp; YEAR(D56)</f>
        <v>11/1/2018</v>
      </c>
      <c r="E57" s="39" t="str">
        <f>"Rent: "&amp;LOOKUP(A57-1, Months, TextMonths)&amp;" '"&amp;B57</f>
        <v>Rent: Nov '2018</v>
      </c>
      <c r="F57" s="36"/>
      <c r="G57" s="36">
        <v>1149.31</v>
      </c>
      <c r="H57" s="38">
        <f t="shared" si="5"/>
        <v>1149.31</v>
      </c>
      <c r="I57" s="39"/>
      <c r="J57" s="30"/>
      <c r="L57" s="71"/>
    </row>
    <row r="58" spans="1:12" ht="12.75" customHeight="1" x14ac:dyDescent="0.25">
      <c r="A58" s="37">
        <f t="shared" si="0"/>
        <v>11</v>
      </c>
      <c r="B58" s="37">
        <f t="shared" si="2"/>
        <v>2018</v>
      </c>
      <c r="C58" s="37" t="str">
        <f t="shared" si="1"/>
        <v>Priv Tax: 1</v>
      </c>
      <c r="D58" s="40" t="str">
        <f>D57</f>
        <v>11/1/2018</v>
      </c>
      <c r="E58" s="39" t="str">
        <f>"Tax: "&amp;LOOKUP(A58-1, Months, TextMonths)&amp;" '"&amp;B58</f>
        <v>Tax: Nov '2018</v>
      </c>
      <c r="F58" s="36"/>
      <c r="G58" s="36">
        <v>20.69</v>
      </c>
      <c r="H58" s="38">
        <f t="shared" si="5"/>
        <v>1170</v>
      </c>
      <c r="I58" s="15"/>
      <c r="J58" s="15"/>
      <c r="K58" s="29"/>
      <c r="L58" s="71"/>
    </row>
    <row r="59" spans="1:12" ht="12.75" customHeight="1" x14ac:dyDescent="0.25">
      <c r="A59" s="37">
        <f t="shared" si="0"/>
        <v>11</v>
      </c>
      <c r="B59" s="37">
        <f t="shared" si="2"/>
        <v>2018</v>
      </c>
      <c r="C59" s="37" t="str">
        <f t="shared" si="1"/>
        <v>Income: 1</v>
      </c>
      <c r="D59" s="28">
        <v>43406</v>
      </c>
      <c r="E59" s="29" t="s">
        <v>51</v>
      </c>
      <c r="F59" s="36">
        <v>1170</v>
      </c>
      <c r="G59" s="36"/>
      <c r="H59" s="38">
        <f t="shared" si="5"/>
        <v>0</v>
      </c>
      <c r="I59" s="30"/>
      <c r="J59" s="36"/>
      <c r="K59" s="30"/>
      <c r="L59" s="71"/>
    </row>
    <row r="60" spans="1:12" ht="12.75" customHeight="1" x14ac:dyDescent="0.25">
      <c r="A60" s="37">
        <f t="shared" si="0"/>
        <v>12</v>
      </c>
      <c r="B60" s="37">
        <f t="shared" si="2"/>
        <v>2018</v>
      </c>
      <c r="C60" s="37" t="str">
        <f t="shared" si="1"/>
        <v>Rent: 1</v>
      </c>
      <c r="D60" s="40" t="str">
        <f>MONTH(D59)+1 &amp; "/1/" &amp; YEAR(D59)</f>
        <v>12/1/2018</v>
      </c>
      <c r="E60" s="39" t="str">
        <f>"Rent: "&amp;LOOKUP(A60-1, Months, TextMonths)&amp;" '"&amp;B60</f>
        <v>Rent: Dec '2018</v>
      </c>
      <c r="F60" s="36"/>
      <c r="G60" s="36">
        <v>1149.31</v>
      </c>
      <c r="H60" s="38">
        <f t="shared" si="5"/>
        <v>1149.31</v>
      </c>
      <c r="I60" s="32"/>
      <c r="J60" s="32"/>
      <c r="L60" s="71"/>
    </row>
    <row r="61" spans="1:12" ht="12.75" customHeight="1" x14ac:dyDescent="0.25">
      <c r="A61" s="37">
        <f t="shared" si="0"/>
        <v>12</v>
      </c>
      <c r="B61" s="37">
        <f t="shared" si="2"/>
        <v>2018</v>
      </c>
      <c r="C61" s="37" t="str">
        <f t="shared" si="1"/>
        <v>Priv Tax: 1</v>
      </c>
      <c r="D61" s="40" t="str">
        <f>D60</f>
        <v>12/1/2018</v>
      </c>
      <c r="E61" s="39" t="str">
        <f>"Tax: "&amp;LOOKUP(A61-1, Months, TextMonths)&amp;" '"&amp;B61</f>
        <v>Tax: Dec '2018</v>
      </c>
      <c r="F61" s="36"/>
      <c r="G61" s="36">
        <v>20.69</v>
      </c>
      <c r="H61" s="38">
        <f t="shared" si="5"/>
        <v>1170</v>
      </c>
      <c r="I61" s="36"/>
      <c r="J61" s="36"/>
      <c r="L61" s="71"/>
    </row>
    <row r="62" spans="1:12" ht="12.75" customHeight="1" thickBot="1" x14ac:dyDescent="0.3">
      <c r="A62" s="47">
        <f t="shared" si="0"/>
        <v>12</v>
      </c>
      <c r="B62" s="47">
        <f t="shared" si="2"/>
        <v>2018</v>
      </c>
      <c r="C62" s="47" t="str">
        <f t="shared" si="1"/>
        <v>Income: 1</v>
      </c>
      <c r="D62" s="48">
        <v>43439</v>
      </c>
      <c r="E62" s="49" t="s">
        <v>51</v>
      </c>
      <c r="F62" s="50">
        <v>1170</v>
      </c>
      <c r="G62" s="50"/>
      <c r="H62" s="77">
        <f t="shared" si="5"/>
        <v>0</v>
      </c>
      <c r="I62" s="49"/>
      <c r="J62" s="49"/>
      <c r="K62" s="49"/>
      <c r="L62" s="78"/>
    </row>
    <row r="63" spans="1:12" ht="12.75" customHeight="1" x14ac:dyDescent="0.25">
      <c r="A63" s="42">
        <f t="shared" si="0"/>
        <v>1</v>
      </c>
      <c r="B63" s="42">
        <f t="shared" si="2"/>
        <v>2019</v>
      </c>
      <c r="C63" s="42" t="str">
        <f t="shared" si="1"/>
        <v>Rent: 1</v>
      </c>
      <c r="D63" s="43" t="str">
        <f>MOD(MONTH(D62)+1, 12) &amp; "/1/" &amp; IF(MONTH(D62)=12, YEAR(D62)+1, YEAR(61))</f>
        <v>1/1/2019</v>
      </c>
      <c r="E63" s="44" t="str">
        <f>"Rent: "&amp;LOOKUP(A63-1, Months, TextMonths)&amp;" '"&amp;B63</f>
        <v>Rent: Jan '2019</v>
      </c>
      <c r="F63" s="45"/>
      <c r="G63" s="45">
        <v>1149.31</v>
      </c>
      <c r="H63" s="74">
        <f t="shared" si="5"/>
        <v>1149.31</v>
      </c>
      <c r="I63" s="33"/>
      <c r="J63" s="33"/>
      <c r="K63" s="33"/>
      <c r="L63" s="75"/>
    </row>
    <row r="64" spans="1:12" ht="12.75" customHeight="1" x14ac:dyDescent="0.25">
      <c r="A64" s="37">
        <f t="shared" si="0"/>
        <v>1</v>
      </c>
      <c r="B64" s="37">
        <f t="shared" si="2"/>
        <v>2019</v>
      </c>
      <c r="C64" s="37" t="str">
        <f t="shared" si="1"/>
        <v>Priv Tax: 1</v>
      </c>
      <c r="D64" s="40" t="str">
        <f>D63</f>
        <v>1/1/2019</v>
      </c>
      <c r="E64" s="39" t="str">
        <f>"Tax: "&amp;LOOKUP(A64-1, Months, TextMonths)&amp;" '"&amp;B64</f>
        <v>Tax: Jan '2019</v>
      </c>
      <c r="F64" s="36"/>
      <c r="G64" s="36">
        <v>20.69</v>
      </c>
      <c r="H64" s="38">
        <f t="shared" si="5"/>
        <v>1170</v>
      </c>
      <c r="I64" s="29"/>
      <c r="J64" s="29"/>
      <c r="K64" s="29"/>
      <c r="L64" s="71"/>
    </row>
    <row r="65" spans="1:12" ht="12.75" customHeight="1" x14ac:dyDescent="0.25">
      <c r="A65" s="37">
        <f t="shared" si="0"/>
        <v>1</v>
      </c>
      <c r="B65" s="37">
        <f t="shared" si="2"/>
        <v>2019</v>
      </c>
      <c r="C65" s="37" t="str">
        <f t="shared" si="1"/>
        <v>Income: 1</v>
      </c>
      <c r="D65" s="28">
        <v>43466</v>
      </c>
      <c r="E65" s="29" t="s">
        <v>51</v>
      </c>
      <c r="F65" s="36">
        <v>1170</v>
      </c>
      <c r="G65" s="36"/>
      <c r="H65" s="38">
        <f t="shared" si="5"/>
        <v>0</v>
      </c>
      <c r="I65" s="29"/>
      <c r="J65" s="29"/>
      <c r="K65" s="29"/>
      <c r="L65" s="71"/>
    </row>
    <row r="66" spans="1:12" ht="12.75" customHeight="1" x14ac:dyDescent="0.25">
      <c r="A66" s="37">
        <f t="shared" si="0"/>
        <v>2</v>
      </c>
      <c r="B66" s="37">
        <f t="shared" si="2"/>
        <v>2019</v>
      </c>
      <c r="C66" s="37" t="str">
        <f t="shared" si="1"/>
        <v>Rent: 1</v>
      </c>
      <c r="D66" s="40" t="str">
        <f>MONTH(D65)+1 &amp; "/1/" &amp; YEAR(D65)</f>
        <v>2/1/2019</v>
      </c>
      <c r="E66" s="39" t="str">
        <f>"Rent: "&amp;LOOKUP(A66-1, Months, TextMonths)&amp;" '"&amp;B66</f>
        <v>Rent: Feb '2019</v>
      </c>
      <c r="F66" s="36"/>
      <c r="G66" s="36">
        <v>1149.31</v>
      </c>
      <c r="H66" s="38">
        <f t="shared" si="5"/>
        <v>1149.31</v>
      </c>
      <c r="I66" s="39"/>
      <c r="J66" s="29"/>
      <c r="K66" s="29"/>
      <c r="L66" s="71"/>
    </row>
    <row r="67" spans="1:12" ht="12.75" customHeight="1" x14ac:dyDescent="0.25">
      <c r="A67" s="37">
        <f t="shared" si="0"/>
        <v>2</v>
      </c>
      <c r="B67" s="37">
        <f t="shared" si="2"/>
        <v>2019</v>
      </c>
      <c r="C67" s="37" t="str">
        <f t="shared" si="1"/>
        <v>Priv Tax: 1</v>
      </c>
      <c r="D67" s="40" t="str">
        <f>D66</f>
        <v>2/1/2019</v>
      </c>
      <c r="E67" s="39" t="str">
        <f>"Tax: "&amp;LOOKUP(A67-1, Months, TextMonths)&amp;" '"&amp;B67</f>
        <v>Tax: Feb '2019</v>
      </c>
      <c r="F67" s="36"/>
      <c r="G67" s="36">
        <v>20.69</v>
      </c>
      <c r="H67" s="38">
        <f t="shared" si="5"/>
        <v>1170</v>
      </c>
      <c r="I67" s="15"/>
      <c r="J67" s="15"/>
      <c r="K67" s="29"/>
      <c r="L67" s="71"/>
    </row>
    <row r="68" spans="1:12" ht="12.75" customHeight="1" x14ac:dyDescent="0.25">
      <c r="A68" s="37">
        <f t="shared" si="0"/>
        <v>2</v>
      </c>
      <c r="B68" s="37">
        <f t="shared" si="2"/>
        <v>2009</v>
      </c>
      <c r="C68" s="37" t="str">
        <f t="shared" si="1"/>
        <v>Income: 1</v>
      </c>
      <c r="D68" s="28">
        <v>39845</v>
      </c>
      <c r="E68" s="29" t="s">
        <v>51</v>
      </c>
      <c r="F68" s="36">
        <v>1170</v>
      </c>
      <c r="G68" s="36"/>
      <c r="H68" s="38">
        <f t="shared" si="5"/>
        <v>0</v>
      </c>
      <c r="I68" s="29"/>
      <c r="J68" s="29"/>
      <c r="K68" s="29"/>
      <c r="L68" s="71"/>
    </row>
    <row r="69" spans="1:12" ht="12.75" customHeight="1" x14ac:dyDescent="0.25">
      <c r="A69" s="37">
        <f t="shared" si="0"/>
        <v>3</v>
      </c>
      <c r="B69" s="37">
        <f t="shared" si="2"/>
        <v>2009</v>
      </c>
      <c r="C69" s="37" t="str">
        <f t="shared" si="1"/>
        <v>Rent: 1</v>
      </c>
      <c r="D69" s="40" t="str">
        <f>MONTH(D68)+1 &amp; "/1/" &amp; YEAR(D68)</f>
        <v>3/1/2009</v>
      </c>
      <c r="E69" s="39" t="str">
        <f>"Rent: "&amp;LOOKUP(A69-1, Months, TextMonths)&amp;" '"&amp;B69</f>
        <v>Rent: Mar '2009</v>
      </c>
      <c r="F69" s="36"/>
      <c r="G69" s="36">
        <v>1149.31</v>
      </c>
      <c r="H69" s="38">
        <f t="shared" si="5"/>
        <v>1149.31</v>
      </c>
      <c r="I69" s="32"/>
      <c r="J69" s="32"/>
      <c r="K69" s="29"/>
      <c r="L69" s="71"/>
    </row>
    <row r="70" spans="1:12" ht="12.75" customHeight="1" x14ac:dyDescent="0.25">
      <c r="A70" s="37">
        <f t="shared" si="0"/>
        <v>3</v>
      </c>
      <c r="B70" s="37">
        <f t="shared" si="2"/>
        <v>2009</v>
      </c>
      <c r="C70" s="37" t="str">
        <f t="shared" si="1"/>
        <v>Priv Tax: 1</v>
      </c>
      <c r="D70" s="40" t="str">
        <f>D69</f>
        <v>3/1/2009</v>
      </c>
      <c r="E70" s="39" t="str">
        <f>"Tax: "&amp;LOOKUP(A70-1, Months, TextMonths)&amp;" '"&amp;B70</f>
        <v>Tax: Mar '2009</v>
      </c>
      <c r="F70" s="36"/>
      <c r="G70" s="36">
        <v>20.69</v>
      </c>
      <c r="H70" s="38">
        <f t="shared" si="5"/>
        <v>1170</v>
      </c>
      <c r="I70" s="36"/>
      <c r="J70" s="36"/>
      <c r="K70" s="29"/>
      <c r="L70" s="71"/>
    </row>
    <row r="71" spans="1:12" ht="12.75" customHeight="1" thickBot="1" x14ac:dyDescent="0.3">
      <c r="A71" s="47">
        <f t="shared" si="0"/>
        <v>2</v>
      </c>
      <c r="B71" s="47">
        <f t="shared" si="2"/>
        <v>2019</v>
      </c>
      <c r="C71" s="47" t="str">
        <f t="shared" si="1"/>
        <v>Income: 1</v>
      </c>
      <c r="D71" s="48">
        <v>43524</v>
      </c>
      <c r="E71" s="49" t="s">
        <v>51</v>
      </c>
      <c r="F71" s="50">
        <v>1170</v>
      </c>
      <c r="G71" s="50"/>
      <c r="H71" s="77">
        <f t="shared" si="5"/>
        <v>0</v>
      </c>
      <c r="I71" s="49"/>
      <c r="J71" s="49"/>
      <c r="K71" s="49"/>
      <c r="L71" s="78"/>
    </row>
    <row r="72" spans="1:12" ht="12.75" customHeight="1" x14ac:dyDescent="0.25">
      <c r="A72" s="80">
        <f t="shared" si="0"/>
        <v>4</v>
      </c>
      <c r="B72" s="42">
        <f t="shared" si="2"/>
        <v>2019</v>
      </c>
      <c r="C72" s="42" t="str">
        <f t="shared" si="1"/>
        <v>Rent: 1</v>
      </c>
      <c r="D72" s="43" t="str">
        <f>MONTH(D70)+1 &amp; "/1/" &amp; YEAR(D71)</f>
        <v>4/1/2019</v>
      </c>
      <c r="E72" s="44" t="str">
        <f>"Rent: "&amp;LOOKUP(A72-1, Months, TextMonths)&amp;" '"&amp;B72</f>
        <v>Rent: Apr '2019</v>
      </c>
      <c r="F72" s="45"/>
      <c r="G72" s="45">
        <v>1149.31</v>
      </c>
      <c r="H72" s="74">
        <f t="shared" si="5"/>
        <v>1149.31</v>
      </c>
      <c r="I72" s="33"/>
      <c r="J72" s="33"/>
      <c r="K72" s="33"/>
      <c r="L72" s="75"/>
    </row>
    <row r="73" spans="1:12" ht="12.75" customHeight="1" x14ac:dyDescent="0.25">
      <c r="A73" s="81">
        <f t="shared" si="0"/>
        <v>4</v>
      </c>
      <c r="B73" s="37">
        <f t="shared" si="2"/>
        <v>2019</v>
      </c>
      <c r="C73" s="37" t="str">
        <f t="shared" si="1"/>
        <v>Priv Tax: 1</v>
      </c>
      <c r="D73" s="40" t="str">
        <f>D72</f>
        <v>4/1/2019</v>
      </c>
      <c r="E73" s="39" t="str">
        <f>"Tax: "&amp;LOOKUP(A73-1, Months, TextMonths)&amp;" '"&amp;B73</f>
        <v>Tax: Apr '2019</v>
      </c>
      <c r="F73" s="36"/>
      <c r="G73" s="36">
        <v>20.69</v>
      </c>
      <c r="H73" s="38">
        <f t="shared" si="5"/>
        <v>1170</v>
      </c>
      <c r="I73" s="29"/>
      <c r="J73" s="29"/>
      <c r="K73" s="29"/>
      <c r="L73" s="71"/>
    </row>
    <row r="74" spans="1:12" ht="12.75" customHeight="1" x14ac:dyDescent="0.25">
      <c r="A74" s="81">
        <f t="shared" si="0"/>
        <v>4</v>
      </c>
      <c r="B74" s="37">
        <f t="shared" si="2"/>
        <v>2019</v>
      </c>
      <c r="C74" s="37" t="str">
        <f t="shared" si="1"/>
        <v>Income: 1</v>
      </c>
      <c r="D74" s="28">
        <v>43556</v>
      </c>
      <c r="E74" s="29" t="s">
        <v>51</v>
      </c>
      <c r="F74" s="36">
        <v>1170</v>
      </c>
      <c r="G74" s="36"/>
      <c r="H74" s="38">
        <f t="shared" si="5"/>
        <v>0</v>
      </c>
      <c r="I74" s="29"/>
      <c r="J74" s="29"/>
      <c r="K74" s="29"/>
      <c r="L74" s="71"/>
    </row>
    <row r="75" spans="1:12" ht="12.75" customHeight="1" x14ac:dyDescent="0.25">
      <c r="A75" s="81">
        <f t="shared" si="0"/>
        <v>5</v>
      </c>
      <c r="B75" s="37">
        <f t="shared" si="2"/>
        <v>2019</v>
      </c>
      <c r="C75" s="37" t="str">
        <f t="shared" si="1"/>
        <v>Rent: 1</v>
      </c>
      <c r="D75" s="40" t="str">
        <f>MONTH(D74)+1 &amp; "/1/" &amp; YEAR(D74)</f>
        <v>5/1/2019</v>
      </c>
      <c r="E75" s="39" t="str">
        <f>"Rent: "&amp;LOOKUP(A75-1, Months, TextMonths)&amp;" '"&amp;B75</f>
        <v>Rent: May '2019</v>
      </c>
      <c r="F75" s="36"/>
      <c r="G75" s="36">
        <v>1149.31</v>
      </c>
      <c r="H75" s="38">
        <f t="shared" si="5"/>
        <v>1149.31</v>
      </c>
      <c r="I75" s="39"/>
      <c r="J75" s="29"/>
      <c r="K75" s="29"/>
      <c r="L75" s="71"/>
    </row>
    <row r="76" spans="1:12" ht="12.75" customHeight="1" x14ac:dyDescent="0.25">
      <c r="A76" s="81">
        <f t="shared" si="0"/>
        <v>5</v>
      </c>
      <c r="B76" s="37">
        <f t="shared" si="2"/>
        <v>2019</v>
      </c>
      <c r="C76" s="37" t="str">
        <f t="shared" si="1"/>
        <v>Priv Tax: 1</v>
      </c>
      <c r="D76" s="40" t="str">
        <f>D75</f>
        <v>5/1/2019</v>
      </c>
      <c r="E76" s="39" t="str">
        <f>"Tax: "&amp;LOOKUP(A76-1, Months, TextMonths)&amp;" '"&amp;B76</f>
        <v>Tax: May '2019</v>
      </c>
      <c r="F76" s="36"/>
      <c r="G76" s="36">
        <v>20.69</v>
      </c>
      <c r="H76" s="38">
        <f t="shared" si="5"/>
        <v>1170</v>
      </c>
      <c r="I76" s="15"/>
      <c r="J76" s="15"/>
      <c r="K76" s="29"/>
      <c r="L76" s="71"/>
    </row>
    <row r="77" spans="1:12" ht="12.75" customHeight="1" x14ac:dyDescent="0.25">
      <c r="A77" s="81">
        <f t="shared" si="0"/>
        <v>5</v>
      </c>
      <c r="B77" s="37">
        <f t="shared" si="2"/>
        <v>2019</v>
      </c>
      <c r="C77" s="37" t="str">
        <f t="shared" si="1"/>
        <v>Income: 1</v>
      </c>
      <c r="D77" s="28">
        <v>43589</v>
      </c>
      <c r="E77" s="29" t="s">
        <v>51</v>
      </c>
      <c r="F77" s="36">
        <v>1170</v>
      </c>
      <c r="G77" s="36"/>
      <c r="H77" s="38">
        <f t="shared" si="5"/>
        <v>0</v>
      </c>
      <c r="I77" s="29"/>
      <c r="J77" s="29"/>
      <c r="K77" s="29"/>
      <c r="L77" s="71"/>
    </row>
    <row r="78" spans="1:12" ht="12.75" customHeight="1" x14ac:dyDescent="0.25">
      <c r="A78" s="81">
        <f t="shared" si="0"/>
        <v>6</v>
      </c>
      <c r="B78" s="37">
        <f t="shared" si="2"/>
        <v>2019</v>
      </c>
      <c r="C78" s="37" t="str">
        <f t="shared" si="1"/>
        <v>Rent: 1</v>
      </c>
      <c r="D78" s="40" t="str">
        <f>MONTH(D77)+1 &amp; "/1/" &amp; YEAR(D77)</f>
        <v>6/1/2019</v>
      </c>
      <c r="E78" s="39" t="str">
        <f>"Rent: "&amp;LOOKUP(A78-1, Months, TextMonths)&amp;" '"&amp;B78</f>
        <v>Rent: Jun '2019</v>
      </c>
      <c r="F78" s="36"/>
      <c r="G78" s="36">
        <v>1149.31</v>
      </c>
      <c r="H78" s="38">
        <f t="shared" si="5"/>
        <v>1149.31</v>
      </c>
      <c r="I78" s="32"/>
      <c r="J78" s="32"/>
      <c r="K78" s="29"/>
      <c r="L78" s="71"/>
    </row>
    <row r="79" spans="1:12" ht="12.75" customHeight="1" x14ac:dyDescent="0.25">
      <c r="A79" s="81">
        <f t="shared" si="0"/>
        <v>6</v>
      </c>
      <c r="B79" s="37">
        <f t="shared" si="2"/>
        <v>2019</v>
      </c>
      <c r="C79" s="37" t="str">
        <f t="shared" si="1"/>
        <v>Priv Tax: 1</v>
      </c>
      <c r="D79" s="40" t="str">
        <f>D78</f>
        <v>6/1/2019</v>
      </c>
      <c r="E79" s="39" t="str">
        <f>"Tax: "&amp;LOOKUP(A79-1, Months, TextMonths)&amp;" '"&amp;B79</f>
        <v>Tax: Jun '2019</v>
      </c>
      <c r="F79" s="36"/>
      <c r="G79" s="36">
        <v>20.69</v>
      </c>
      <c r="H79" s="38">
        <f t="shared" si="5"/>
        <v>1170</v>
      </c>
      <c r="I79" s="36"/>
      <c r="J79" s="36"/>
      <c r="K79" s="29"/>
      <c r="L79" s="71"/>
    </row>
    <row r="80" spans="1:12" ht="12.75" customHeight="1" thickBot="1" x14ac:dyDescent="0.3">
      <c r="A80" s="82">
        <f t="shared" si="0"/>
        <v>6</v>
      </c>
      <c r="B80" s="47">
        <f t="shared" si="2"/>
        <v>2019</v>
      </c>
      <c r="C80" s="47" t="str">
        <f t="shared" si="1"/>
        <v>Income: 1</v>
      </c>
      <c r="D80" s="48">
        <v>43619</v>
      </c>
      <c r="E80" s="49" t="s">
        <v>51</v>
      </c>
      <c r="F80" s="50">
        <v>1170</v>
      </c>
      <c r="G80" s="50"/>
      <c r="H80" s="77">
        <f t="shared" si="5"/>
        <v>0</v>
      </c>
      <c r="I80" s="49"/>
      <c r="J80" s="49"/>
      <c r="K80" s="49"/>
      <c r="L80" s="78"/>
    </row>
    <row r="81" spans="1:16" ht="12.75" customHeight="1" x14ac:dyDescent="0.25">
      <c r="A81" s="80">
        <f t="shared" si="0"/>
        <v>7</v>
      </c>
      <c r="B81" s="42">
        <f t="shared" si="2"/>
        <v>2019</v>
      </c>
      <c r="C81" s="42" t="str">
        <f t="shared" si="1"/>
        <v>Rent: 1</v>
      </c>
      <c r="D81" s="43" t="str">
        <f>MONTH(D79)+1 &amp; "/1/" &amp; YEAR(D80)</f>
        <v>7/1/2019</v>
      </c>
      <c r="E81" s="44" t="str">
        <f>"Rent: "&amp;LOOKUP(A81-1, Months, TextMonths)&amp;" '"&amp;B81</f>
        <v>Rent: Jul '2019</v>
      </c>
      <c r="F81" s="45"/>
      <c r="G81" s="45">
        <v>1149.31</v>
      </c>
      <c r="H81" s="74">
        <f t="shared" si="5"/>
        <v>1149.31</v>
      </c>
      <c r="I81" s="33"/>
      <c r="J81" s="33"/>
      <c r="K81" s="33"/>
      <c r="L81" s="75"/>
    </row>
    <row r="82" spans="1:16" ht="12.75" customHeight="1" x14ac:dyDescent="0.25">
      <c r="A82" s="81">
        <f t="shared" si="0"/>
        <v>7</v>
      </c>
      <c r="B82" s="37">
        <f t="shared" si="2"/>
        <v>2019</v>
      </c>
      <c r="C82" s="37" t="str">
        <f t="shared" si="1"/>
        <v>Priv Tax: 1</v>
      </c>
      <c r="D82" s="40" t="str">
        <f>D81</f>
        <v>7/1/2019</v>
      </c>
      <c r="E82" s="39" t="str">
        <f>"Tax: "&amp;LOOKUP(A82-1, Months, TextMonths)&amp;" '"&amp;B82</f>
        <v>Tax: Jul '2019</v>
      </c>
      <c r="F82" s="36"/>
      <c r="G82" s="36">
        <v>20.69</v>
      </c>
      <c r="H82" s="38">
        <f t="shared" si="5"/>
        <v>1170</v>
      </c>
      <c r="I82" s="29"/>
      <c r="J82" s="29"/>
      <c r="K82" s="29"/>
      <c r="L82" s="71"/>
    </row>
    <row r="83" spans="1:16" ht="12.75" customHeight="1" x14ac:dyDescent="0.25">
      <c r="A83" s="81">
        <f t="shared" si="0"/>
        <v>7</v>
      </c>
      <c r="B83" s="37">
        <f t="shared" si="2"/>
        <v>2019</v>
      </c>
      <c r="C83" s="37" t="str">
        <f t="shared" si="1"/>
        <v>Income: 1</v>
      </c>
      <c r="D83" s="28">
        <v>43648</v>
      </c>
      <c r="E83" s="29" t="s">
        <v>51</v>
      </c>
      <c r="F83" s="36">
        <v>1170</v>
      </c>
      <c r="G83" s="36"/>
      <c r="H83" s="38">
        <f t="shared" si="5"/>
        <v>0</v>
      </c>
      <c r="I83" s="29"/>
      <c r="J83" s="29"/>
      <c r="K83" s="29"/>
      <c r="L83" s="71"/>
    </row>
    <row r="84" spans="1:16" ht="12.75" customHeight="1" x14ac:dyDescent="0.25">
      <c r="A84" s="81">
        <f t="shared" si="0"/>
        <v>8</v>
      </c>
      <c r="B84" s="37">
        <f t="shared" si="2"/>
        <v>2019</v>
      </c>
      <c r="C84" s="37" t="str">
        <f t="shared" si="1"/>
        <v>Rent: 1</v>
      </c>
      <c r="D84" s="40" t="str">
        <f>MONTH(D83)+1 &amp; "/1/" &amp; YEAR(D83)</f>
        <v>8/1/2019</v>
      </c>
      <c r="E84" s="39" t="str">
        <f>"Rent: "&amp;LOOKUP(A84-1, Months, TextMonths)&amp;" '"&amp;B84</f>
        <v>Rent: Aug '2019</v>
      </c>
      <c r="F84" s="36"/>
      <c r="G84" s="36">
        <v>1149.31</v>
      </c>
      <c r="H84" s="38">
        <f t="shared" si="5"/>
        <v>1149.31</v>
      </c>
      <c r="I84" s="32"/>
      <c r="J84" s="32"/>
      <c r="K84" s="29"/>
      <c r="L84" s="71"/>
      <c r="P84" s="30"/>
    </row>
    <row r="85" spans="1:16" ht="12.75" customHeight="1" x14ac:dyDescent="0.25">
      <c r="A85" s="81">
        <f t="shared" si="0"/>
        <v>8</v>
      </c>
      <c r="B85" s="37">
        <f t="shared" si="2"/>
        <v>2019</v>
      </c>
      <c r="C85" s="37" t="str">
        <f t="shared" si="1"/>
        <v>Priv Tax: 1</v>
      </c>
      <c r="D85" s="40" t="str">
        <f>D84</f>
        <v>8/1/2019</v>
      </c>
      <c r="E85" s="39" t="str">
        <f>"Tax: "&amp;LOOKUP(A85-1, Months, TextMonths)&amp;" '"&amp;B85</f>
        <v>Tax: Aug '2019</v>
      </c>
      <c r="F85" s="36"/>
      <c r="G85" s="36">
        <v>20.69</v>
      </c>
      <c r="H85" s="38">
        <f t="shared" si="5"/>
        <v>1170</v>
      </c>
      <c r="I85" s="36"/>
      <c r="J85" s="36"/>
      <c r="K85" s="29"/>
      <c r="L85" s="71"/>
      <c r="P85" s="30"/>
    </row>
    <row r="86" spans="1:16" ht="12.75" customHeight="1" x14ac:dyDescent="0.25">
      <c r="A86" s="81">
        <f t="shared" si="0"/>
        <v>7</v>
      </c>
      <c r="B86" s="37">
        <f t="shared" si="2"/>
        <v>2019</v>
      </c>
      <c r="C86" s="37" t="str">
        <f t="shared" si="1"/>
        <v>Income: 1</v>
      </c>
      <c r="D86" s="28">
        <v>43677</v>
      </c>
      <c r="E86" s="29" t="s">
        <v>51</v>
      </c>
      <c r="F86" s="36">
        <v>1170</v>
      </c>
      <c r="G86" s="36"/>
      <c r="H86" s="38">
        <f t="shared" ref="H86" si="6">H85+G86-F86</f>
        <v>0</v>
      </c>
      <c r="I86" s="29"/>
      <c r="J86" s="29"/>
      <c r="K86" s="29"/>
      <c r="L86" s="71"/>
    </row>
    <row r="87" spans="1:16" ht="12.75" customHeight="1" x14ac:dyDescent="0.35">
      <c r="A87" s="37">
        <f>MONTH(D87)</f>
        <v>8</v>
      </c>
      <c r="B87" s="37">
        <f>YEAR(D87)</f>
        <v>2019</v>
      </c>
      <c r="C87" s="37" t="str">
        <f t="shared" ref="C87:C88" si="7">IFERROR("Rent: "&amp;FIND("Rent",E87),IFERROR("Priv Tax: "&amp;FIND("Tax",E87), IFERROR("Income: "&amp;FIND("Payment",E87,1),"")))</f>
        <v/>
      </c>
      <c r="D87" s="53">
        <v>43708</v>
      </c>
      <c r="E87" s="2" t="s">
        <v>54</v>
      </c>
      <c r="F87" s="54">
        <v>1150</v>
      </c>
      <c r="G87" s="54"/>
      <c r="H87" s="54"/>
      <c r="I87" s="29"/>
      <c r="J87" s="29"/>
      <c r="K87" s="29"/>
      <c r="L87" s="102"/>
    </row>
    <row r="88" spans="1:16" ht="12.75" customHeight="1" x14ac:dyDescent="0.3">
      <c r="A88" s="55">
        <f>MONTH(D88)</f>
        <v>8</v>
      </c>
      <c r="B88" s="55">
        <f>YEAR(D88)</f>
        <v>2019</v>
      </c>
      <c r="C88" s="55" t="str">
        <f t="shared" si="7"/>
        <v/>
      </c>
      <c r="D88" s="165">
        <v>43708</v>
      </c>
      <c r="E88" s="173" t="s">
        <v>148</v>
      </c>
      <c r="F88" s="56"/>
      <c r="G88" s="56"/>
      <c r="H88" s="56"/>
      <c r="I88" s="29"/>
      <c r="J88" s="29"/>
      <c r="K88" s="29"/>
      <c r="L88" s="102"/>
    </row>
    <row r="89" spans="1:16" ht="12.75" customHeight="1" thickBot="1" x14ac:dyDescent="0.35">
      <c r="A89" s="159" t="s">
        <v>128</v>
      </c>
      <c r="B89" s="36"/>
      <c r="C89" s="36"/>
      <c r="D89" s="96" t="s">
        <v>157</v>
      </c>
      <c r="E89" s="36" t="s">
        <v>158</v>
      </c>
      <c r="F89" s="36"/>
      <c r="G89" s="36"/>
      <c r="H89" s="36"/>
    </row>
    <row r="90" spans="1:16" ht="12.75" customHeight="1" x14ac:dyDescent="0.25">
      <c r="A90" s="80">
        <f t="shared" ref="A90:A114" si="8">MONTH(D90)</f>
        <v>8</v>
      </c>
      <c r="B90" s="42">
        <f t="shared" ref="B90:B114" si="9">YEAR(D90)</f>
        <v>2021</v>
      </c>
      <c r="C90" s="42" t="str">
        <f t="shared" ref="C90:C114" si="10">IFERROR("Rent: "&amp;FIND("Rent",E90),IFERROR("Priv Tax: "&amp;FIND("Tax",E90), IFERROR("Income: "&amp;FIND("Payment",E90,1),"")))</f>
        <v>Rent: 1</v>
      </c>
      <c r="D90" s="52">
        <v>44423</v>
      </c>
      <c r="E90" s="44" t="str">
        <f>"Rent: "&amp;LOOKUP(A90-1, Months, TextMonths)&amp;" '"&amp;B90</f>
        <v>Rent: Aug '2021</v>
      </c>
      <c r="F90" s="45"/>
      <c r="G90" s="45">
        <v>1000</v>
      </c>
      <c r="H90" s="74">
        <f>G90-F90</f>
        <v>1000</v>
      </c>
      <c r="I90" s="33"/>
      <c r="J90" s="33"/>
      <c r="K90" s="88"/>
      <c r="L90" s="75"/>
      <c r="M90" s="29"/>
    </row>
    <row r="91" spans="1:16" ht="12.75" customHeight="1" x14ac:dyDescent="0.35">
      <c r="A91" s="81">
        <f t="shared" si="8"/>
        <v>8</v>
      </c>
      <c r="B91" s="37">
        <f t="shared" si="9"/>
        <v>2021</v>
      </c>
      <c r="C91" s="37" t="str">
        <f t="shared" si="10"/>
        <v/>
      </c>
      <c r="D91" s="28">
        <v>44423</v>
      </c>
      <c r="E91" s="70" t="s">
        <v>49</v>
      </c>
      <c r="F91" s="36"/>
      <c r="G91" s="36">
        <v>2000</v>
      </c>
      <c r="H91" s="38">
        <v>2450</v>
      </c>
      <c r="I91" s="29"/>
      <c r="J91" s="29"/>
      <c r="K91" s="15"/>
      <c r="L91" s="71"/>
      <c r="M91" s="29"/>
      <c r="N91" s="15"/>
    </row>
    <row r="92" spans="1:16" ht="12.75" customHeight="1" x14ac:dyDescent="0.35">
      <c r="A92" s="81">
        <f t="shared" si="8"/>
        <v>8</v>
      </c>
      <c r="B92" s="37">
        <f t="shared" si="9"/>
        <v>2021</v>
      </c>
      <c r="C92" s="37" t="str">
        <f t="shared" si="10"/>
        <v/>
      </c>
      <c r="D92" s="28">
        <v>44423</v>
      </c>
      <c r="E92" s="70" t="s">
        <v>66</v>
      </c>
      <c r="F92" s="36"/>
      <c r="G92" s="36">
        <v>250</v>
      </c>
      <c r="H92" s="38">
        <v>2450</v>
      </c>
      <c r="I92" s="29"/>
      <c r="J92" s="29"/>
      <c r="K92" s="15"/>
      <c r="L92" s="71"/>
      <c r="M92" s="15"/>
    </row>
    <row r="93" spans="1:16" ht="12.75" customHeight="1" x14ac:dyDescent="0.25">
      <c r="A93" s="81">
        <f t="shared" si="8"/>
        <v>7</v>
      </c>
      <c r="B93" s="37">
        <f t="shared" si="9"/>
        <v>2021</v>
      </c>
      <c r="C93" s="37" t="str">
        <f t="shared" si="10"/>
        <v>Income: 1</v>
      </c>
      <c r="D93" s="28">
        <v>44396</v>
      </c>
      <c r="E93" s="29" t="s">
        <v>79</v>
      </c>
      <c r="F93" s="36">
        <v>2000</v>
      </c>
      <c r="G93" s="36"/>
      <c r="H93" s="38">
        <f>H92+G93-F93</f>
        <v>450</v>
      </c>
      <c r="I93" s="29"/>
      <c r="J93" s="29"/>
      <c r="K93" s="15"/>
      <c r="L93" s="71"/>
      <c r="M93" s="15"/>
      <c r="N93" s="36"/>
    </row>
    <row r="94" spans="1:16" ht="12.75" customHeight="1" x14ac:dyDescent="0.25">
      <c r="A94" s="81">
        <f t="shared" si="8"/>
        <v>7</v>
      </c>
      <c r="B94" s="37">
        <f t="shared" si="9"/>
        <v>2021</v>
      </c>
      <c r="C94" s="37" t="str">
        <f t="shared" si="10"/>
        <v>Income: 1</v>
      </c>
      <c r="D94" s="28">
        <v>44397</v>
      </c>
      <c r="E94" s="29" t="s">
        <v>79</v>
      </c>
      <c r="F94" s="36">
        <v>250</v>
      </c>
      <c r="G94" s="36"/>
      <c r="H94" s="38">
        <f>H93+G94-F94</f>
        <v>200</v>
      </c>
      <c r="I94" s="29"/>
      <c r="J94" s="29"/>
      <c r="K94" s="15"/>
      <c r="L94" s="71"/>
      <c r="M94" s="15"/>
      <c r="N94" s="36"/>
    </row>
    <row r="95" spans="1:16" ht="12.75" customHeight="1" x14ac:dyDescent="0.25">
      <c r="A95" s="81">
        <f t="shared" si="8"/>
        <v>9</v>
      </c>
      <c r="B95" s="37">
        <f t="shared" si="9"/>
        <v>2021</v>
      </c>
      <c r="C95" s="37" t="str">
        <f t="shared" si="10"/>
        <v>Rent: 1</v>
      </c>
      <c r="D95" s="28">
        <v>44440</v>
      </c>
      <c r="E95" s="39" t="str">
        <f>"Rent: "&amp;LOOKUP(A95-1, Months, TextMonths)&amp;" '"&amp;B95</f>
        <v>Rent: Sep '2021</v>
      </c>
      <c r="F95" s="36"/>
      <c r="G95" s="36">
        <v>1000</v>
      </c>
      <c r="H95" s="38">
        <f>G95-F95</f>
        <v>1000</v>
      </c>
      <c r="I95" s="29"/>
      <c r="J95" s="29"/>
      <c r="K95" s="15"/>
      <c r="L95" s="71"/>
      <c r="M95" s="29"/>
    </row>
    <row r="96" spans="1:16" ht="12.75" customHeight="1" x14ac:dyDescent="0.25">
      <c r="A96" s="81">
        <f t="shared" si="8"/>
        <v>9</v>
      </c>
      <c r="B96" s="37">
        <f t="shared" si="9"/>
        <v>2021</v>
      </c>
      <c r="C96" s="37" t="str">
        <f t="shared" si="10"/>
        <v>Income: 1</v>
      </c>
      <c r="D96" s="28">
        <v>44440</v>
      </c>
      <c r="E96" s="29" t="s">
        <v>51</v>
      </c>
      <c r="F96" s="36">
        <v>1000</v>
      </c>
      <c r="G96" s="36"/>
      <c r="H96" s="38">
        <f>H95+G96-F96</f>
        <v>0</v>
      </c>
      <c r="I96" s="32"/>
      <c r="J96" s="32"/>
      <c r="K96" s="15"/>
      <c r="L96" s="71"/>
      <c r="M96" s="15"/>
      <c r="N96" s="36"/>
    </row>
    <row r="97" spans="1:14" ht="12.75" customHeight="1" x14ac:dyDescent="0.25">
      <c r="A97" s="81">
        <f t="shared" si="8"/>
        <v>10</v>
      </c>
      <c r="B97" s="37">
        <f t="shared" si="9"/>
        <v>2021</v>
      </c>
      <c r="C97" s="37" t="str">
        <f t="shared" si="10"/>
        <v>Rent: 1</v>
      </c>
      <c r="D97" s="40" t="str">
        <f>MONTH(D95)+1 &amp; "/1/" &amp; YEAR(D95)</f>
        <v>10/1/2021</v>
      </c>
      <c r="E97" s="39" t="str">
        <f>"Rent: "&amp;LOOKUP(A97-1, Months, TextMonths)&amp;" '"&amp;B97</f>
        <v>Rent: Oct '2021</v>
      </c>
      <c r="F97" s="36"/>
      <c r="G97" s="36">
        <v>2000</v>
      </c>
      <c r="H97" s="38">
        <f>G97-F97</f>
        <v>2000</v>
      </c>
      <c r="I97" s="36"/>
      <c r="J97" s="36"/>
      <c r="K97" s="15"/>
      <c r="L97" s="71"/>
      <c r="M97" s="29"/>
    </row>
    <row r="98" spans="1:14" ht="12.75" customHeight="1" thickBot="1" x14ac:dyDescent="0.3">
      <c r="A98" s="82">
        <f t="shared" si="8"/>
        <v>9</v>
      </c>
      <c r="B98" s="47">
        <f t="shared" si="9"/>
        <v>2021</v>
      </c>
      <c r="C98" s="47" t="str">
        <f t="shared" si="10"/>
        <v>Income: 1</v>
      </c>
      <c r="D98" s="48">
        <v>44468</v>
      </c>
      <c r="E98" s="49" t="s">
        <v>51</v>
      </c>
      <c r="F98" s="50">
        <v>2000</v>
      </c>
      <c r="G98" s="50"/>
      <c r="H98" s="77">
        <f t="shared" ref="H98:H128" si="11">H97+G98-F98</f>
        <v>0</v>
      </c>
      <c r="I98" s="49"/>
      <c r="J98" s="49"/>
      <c r="K98" s="85"/>
      <c r="L98" s="78"/>
      <c r="M98" s="15"/>
      <c r="N98" s="36"/>
    </row>
    <row r="99" spans="1:14" ht="12.75" customHeight="1" x14ac:dyDescent="0.25">
      <c r="A99" s="80">
        <f t="shared" si="8"/>
        <v>11</v>
      </c>
      <c r="B99" s="42">
        <f t="shared" si="9"/>
        <v>2021</v>
      </c>
      <c r="C99" s="42" t="str">
        <f t="shared" si="10"/>
        <v>Rent: 1</v>
      </c>
      <c r="D99" s="43" t="str">
        <f>MONTH(D98)+2 &amp; "/1/" &amp; YEAR(D98)</f>
        <v>11/1/2021</v>
      </c>
      <c r="E99" s="44" t="str">
        <f>"Rent: "&amp;LOOKUP(A99-1, Months, TextMonths)&amp;" '"&amp;B99</f>
        <v>Rent: Nov '2021</v>
      </c>
      <c r="F99" s="45"/>
      <c r="G99" s="45">
        <v>2000</v>
      </c>
      <c r="H99" s="74">
        <f t="shared" si="11"/>
        <v>2000</v>
      </c>
      <c r="I99" s="33"/>
      <c r="J99" s="33"/>
      <c r="K99" s="33"/>
      <c r="L99" s="75"/>
      <c r="M99" s="29"/>
    </row>
    <row r="100" spans="1:14" ht="12.75" customHeight="1" x14ac:dyDescent="0.25">
      <c r="A100" s="81">
        <f t="shared" si="8"/>
        <v>10</v>
      </c>
      <c r="B100" s="37">
        <f t="shared" si="9"/>
        <v>2021</v>
      </c>
      <c r="C100" s="37" t="str">
        <f t="shared" si="10"/>
        <v>Income: 1</v>
      </c>
      <c r="D100" s="28">
        <v>44498</v>
      </c>
      <c r="E100" s="29" t="s">
        <v>51</v>
      </c>
      <c r="F100" s="36">
        <v>2000</v>
      </c>
      <c r="G100" s="36"/>
      <c r="H100" s="38">
        <f t="shared" si="11"/>
        <v>0</v>
      </c>
      <c r="I100" s="29"/>
      <c r="J100" s="29"/>
      <c r="K100" s="29"/>
      <c r="L100" s="71"/>
    </row>
    <row r="101" spans="1:14" ht="12.75" customHeight="1" x14ac:dyDescent="0.25">
      <c r="A101" s="81">
        <f t="shared" si="8"/>
        <v>12</v>
      </c>
      <c r="B101" s="37">
        <f t="shared" si="9"/>
        <v>2021</v>
      </c>
      <c r="C101" s="37" t="str">
        <f t="shared" si="10"/>
        <v>Rent: 1</v>
      </c>
      <c r="D101" s="40" t="str">
        <f>MONTH(D100)+2 &amp; "/1/" &amp; YEAR(D100)</f>
        <v>12/1/2021</v>
      </c>
      <c r="E101" s="39" t="str">
        <f>"Rent: "&amp;LOOKUP(A101-1, Months, TextMonths)&amp;" '"&amp;B101</f>
        <v>Rent: Dec '2021</v>
      </c>
      <c r="F101" s="36"/>
      <c r="G101" s="36">
        <v>2000</v>
      </c>
      <c r="H101" s="38">
        <f t="shared" si="11"/>
        <v>2000</v>
      </c>
      <c r="I101" s="29"/>
      <c r="J101" s="29"/>
      <c r="K101" s="29"/>
      <c r="L101" s="71"/>
    </row>
    <row r="102" spans="1:14" ht="12.75" customHeight="1" x14ac:dyDescent="0.25">
      <c r="A102" s="81">
        <f t="shared" si="8"/>
        <v>11</v>
      </c>
      <c r="B102" s="37">
        <f t="shared" si="9"/>
        <v>2021</v>
      </c>
      <c r="C102" s="37" t="str">
        <f t="shared" si="10"/>
        <v>Income: 1</v>
      </c>
      <c r="D102" s="28">
        <v>44529</v>
      </c>
      <c r="E102" s="29" t="s">
        <v>51</v>
      </c>
      <c r="F102" s="36">
        <v>2000</v>
      </c>
      <c r="G102" s="36"/>
      <c r="H102" s="38">
        <f t="shared" si="11"/>
        <v>0</v>
      </c>
      <c r="I102" s="29"/>
      <c r="J102" s="29"/>
      <c r="K102" s="29"/>
      <c r="L102" s="71"/>
    </row>
    <row r="103" spans="1:14" ht="12.75" customHeight="1" x14ac:dyDescent="0.25">
      <c r="A103" s="81">
        <f t="shared" si="8"/>
        <v>1</v>
      </c>
      <c r="B103" s="37">
        <f t="shared" si="9"/>
        <v>2022</v>
      </c>
      <c r="C103" s="37" t="str">
        <f t="shared" si="10"/>
        <v>Rent: 1</v>
      </c>
      <c r="D103" s="40">
        <v>44562</v>
      </c>
      <c r="E103" s="39" t="str">
        <f>"Rent: "&amp;LOOKUP(A103-1, Months, TextMonths)&amp;" '"&amp;B103</f>
        <v>Rent: Jan '2022</v>
      </c>
      <c r="F103" s="36"/>
      <c r="G103" s="36">
        <v>2000</v>
      </c>
      <c r="H103" s="38">
        <f t="shared" si="11"/>
        <v>2000</v>
      </c>
      <c r="I103" s="32"/>
      <c r="J103" s="32"/>
      <c r="K103" s="29"/>
      <c r="L103" s="71"/>
    </row>
    <row r="104" spans="1:14" ht="12.75" customHeight="1" thickBot="1" x14ac:dyDescent="0.3">
      <c r="A104" s="81">
        <f t="shared" si="8"/>
        <v>12</v>
      </c>
      <c r="B104" s="37">
        <f t="shared" si="9"/>
        <v>2021</v>
      </c>
      <c r="C104" s="37" t="str">
        <f t="shared" si="10"/>
        <v>Income: 1</v>
      </c>
      <c r="D104" s="28">
        <v>44558</v>
      </c>
      <c r="E104" s="29" t="s">
        <v>51</v>
      </c>
      <c r="F104" s="36">
        <v>2000</v>
      </c>
      <c r="G104" s="36"/>
      <c r="H104" s="38">
        <f t="shared" si="11"/>
        <v>0</v>
      </c>
      <c r="I104" s="36"/>
      <c r="J104" s="36"/>
      <c r="K104" s="29"/>
      <c r="L104" s="71"/>
    </row>
    <row r="105" spans="1:14" ht="12.75" customHeight="1" x14ac:dyDescent="0.25">
      <c r="A105" s="80">
        <f t="shared" si="8"/>
        <v>2</v>
      </c>
      <c r="B105" s="42">
        <f t="shared" si="9"/>
        <v>2021</v>
      </c>
      <c r="C105" s="42" t="str">
        <f t="shared" si="10"/>
        <v>Rent: 1</v>
      </c>
      <c r="D105" s="43" t="str">
        <f>"2/1/" &amp; YEAR(D104)</f>
        <v>2/1/2021</v>
      </c>
      <c r="E105" s="44" t="str">
        <f>"Rent: "&amp;LOOKUP(A105-1, Months, TextMonths)&amp;" '"&amp;B105</f>
        <v>Rent: Feb '2021</v>
      </c>
      <c r="F105" s="45"/>
      <c r="G105" s="45">
        <v>2000</v>
      </c>
      <c r="H105" s="74">
        <f t="shared" si="11"/>
        <v>2000</v>
      </c>
      <c r="I105" s="33"/>
      <c r="J105" s="33"/>
      <c r="K105" s="33"/>
      <c r="L105" s="75"/>
    </row>
    <row r="106" spans="1:14" ht="12.75" customHeight="1" x14ac:dyDescent="0.25">
      <c r="A106" s="81">
        <f t="shared" si="8"/>
        <v>1</v>
      </c>
      <c r="B106" s="37">
        <f t="shared" si="9"/>
        <v>2022</v>
      </c>
      <c r="C106" s="37" t="str">
        <f t="shared" si="10"/>
        <v>Income: 1</v>
      </c>
      <c r="D106" s="28">
        <v>44592</v>
      </c>
      <c r="E106" s="29" t="s">
        <v>51</v>
      </c>
      <c r="F106" s="36">
        <v>2000</v>
      </c>
      <c r="G106" s="36"/>
      <c r="H106" s="38">
        <f t="shared" si="11"/>
        <v>0</v>
      </c>
      <c r="I106" s="29"/>
      <c r="J106" s="29"/>
      <c r="K106" s="29"/>
      <c r="L106" s="71"/>
    </row>
    <row r="107" spans="1:14" ht="12.75" customHeight="1" x14ac:dyDescent="0.25">
      <c r="A107" s="81">
        <f t="shared" si="8"/>
        <v>3</v>
      </c>
      <c r="B107" s="37">
        <f t="shared" si="9"/>
        <v>2022</v>
      </c>
      <c r="C107" s="37" t="str">
        <f t="shared" si="10"/>
        <v>Rent: 1</v>
      </c>
      <c r="D107" s="40" t="str">
        <f>MONTH(D106)+2 &amp; "/1/" &amp; YEAR(D106)</f>
        <v>3/1/2022</v>
      </c>
      <c r="E107" s="39" t="str">
        <f>"Rent: "&amp;LOOKUP(A107-1, Months, TextMonths)&amp;" '"&amp;B107</f>
        <v>Rent: Mar '2022</v>
      </c>
      <c r="F107" s="36"/>
      <c r="G107" s="36">
        <v>2000</v>
      </c>
      <c r="H107" s="38">
        <f t="shared" si="11"/>
        <v>2000</v>
      </c>
      <c r="I107" s="29"/>
      <c r="J107" s="29"/>
      <c r="K107" s="29"/>
      <c r="L107" s="71"/>
    </row>
    <row r="108" spans="1:14" ht="12.75" customHeight="1" x14ac:dyDescent="0.25">
      <c r="A108" s="81">
        <f t="shared" si="8"/>
        <v>2</v>
      </c>
      <c r="B108" s="37">
        <f t="shared" si="9"/>
        <v>2022</v>
      </c>
      <c r="C108" s="37" t="str">
        <f t="shared" si="10"/>
        <v>Income: 1</v>
      </c>
      <c r="D108" s="28">
        <v>44620</v>
      </c>
      <c r="E108" s="29" t="s">
        <v>51</v>
      </c>
      <c r="F108" s="36">
        <v>2000</v>
      </c>
      <c r="G108" s="36"/>
      <c r="H108" s="38">
        <f t="shared" si="11"/>
        <v>0</v>
      </c>
      <c r="I108" s="29"/>
      <c r="J108" s="29"/>
      <c r="K108" s="29"/>
      <c r="L108" s="71"/>
    </row>
    <row r="109" spans="1:14" ht="12.75" customHeight="1" x14ac:dyDescent="0.25">
      <c r="A109" s="81">
        <f t="shared" si="8"/>
        <v>4</v>
      </c>
      <c r="B109" s="37">
        <f t="shared" si="9"/>
        <v>2022</v>
      </c>
      <c r="C109" s="37" t="str">
        <f t="shared" si="10"/>
        <v>Rent: 1</v>
      </c>
      <c r="D109" s="40" t="str">
        <f>MONTH(D108)+2 &amp; "/1/" &amp; YEAR(D108)</f>
        <v>4/1/2022</v>
      </c>
      <c r="E109" s="39" t="str">
        <f>"Rent: "&amp;LOOKUP(A109-1, Months, TextMonths)&amp;" '"&amp;B109</f>
        <v>Rent: Apr '2022</v>
      </c>
      <c r="F109" s="36"/>
      <c r="G109" s="36">
        <v>2000</v>
      </c>
      <c r="H109" s="38">
        <f t="shared" si="11"/>
        <v>2000</v>
      </c>
      <c r="I109" s="32"/>
      <c r="J109" s="32"/>
      <c r="K109" s="29"/>
      <c r="L109" s="71"/>
    </row>
    <row r="110" spans="1:14" ht="12.75" customHeight="1" thickBot="1" x14ac:dyDescent="0.3">
      <c r="A110" s="81">
        <f t="shared" si="8"/>
        <v>3</v>
      </c>
      <c r="B110" s="100">
        <f t="shared" si="9"/>
        <v>2022</v>
      </c>
      <c r="C110" s="100" t="str">
        <f t="shared" si="10"/>
        <v>Income: 1</v>
      </c>
      <c r="D110" s="101">
        <v>44649</v>
      </c>
      <c r="E110" s="102" t="s">
        <v>51</v>
      </c>
      <c r="F110" s="103">
        <v>2000</v>
      </c>
      <c r="G110" s="103"/>
      <c r="H110" s="105">
        <f t="shared" si="11"/>
        <v>0</v>
      </c>
      <c r="I110" s="103"/>
      <c r="J110" s="103"/>
      <c r="K110" s="102"/>
      <c r="L110" s="106"/>
    </row>
    <row r="111" spans="1:14" ht="12.75" customHeight="1" x14ac:dyDescent="0.25">
      <c r="A111" s="107">
        <f t="shared" si="8"/>
        <v>5</v>
      </c>
      <c r="B111" s="108">
        <f t="shared" si="9"/>
        <v>2022</v>
      </c>
      <c r="C111" s="108" t="str">
        <f t="shared" si="10"/>
        <v>Rent: 1</v>
      </c>
      <c r="D111" s="109" t="str">
        <f>MONTH(D110)+2 &amp; "/1/" &amp; YEAR(D110)</f>
        <v>5/1/2022</v>
      </c>
      <c r="E111" s="110" t="str">
        <f>"Rent: "&amp;LOOKUP(A111-1, Months, TextMonths)&amp;" '"&amp;B111</f>
        <v>Rent: May '2022</v>
      </c>
      <c r="F111" s="111"/>
      <c r="G111" s="111">
        <v>2000</v>
      </c>
      <c r="H111" s="113">
        <f t="shared" si="11"/>
        <v>2000</v>
      </c>
      <c r="I111" s="114"/>
      <c r="J111" s="114"/>
      <c r="K111" s="114"/>
      <c r="L111" s="115"/>
    </row>
    <row r="112" spans="1:14" ht="12.75" customHeight="1" x14ac:dyDescent="0.25">
      <c r="A112" s="116">
        <f t="shared" si="8"/>
        <v>4</v>
      </c>
      <c r="B112" s="100">
        <f t="shared" si="9"/>
        <v>2022</v>
      </c>
      <c r="C112" s="100" t="str">
        <f t="shared" si="10"/>
        <v>Income: 1</v>
      </c>
      <c r="D112" s="101">
        <v>44680</v>
      </c>
      <c r="E112" s="102" t="s">
        <v>51</v>
      </c>
      <c r="F112" s="103">
        <v>2000</v>
      </c>
      <c r="G112" s="103"/>
      <c r="H112" s="105">
        <f t="shared" si="11"/>
        <v>0</v>
      </c>
      <c r="I112" s="120"/>
      <c r="J112" s="120"/>
      <c r="K112" s="120"/>
      <c r="L112" s="121"/>
    </row>
    <row r="113" spans="1:12" ht="12.75" customHeight="1" x14ac:dyDescent="0.25">
      <c r="A113" s="116">
        <f t="shared" si="8"/>
        <v>6</v>
      </c>
      <c r="B113" s="100">
        <f t="shared" si="9"/>
        <v>2022</v>
      </c>
      <c r="C113" s="100" t="str">
        <f t="shared" si="10"/>
        <v>Rent: 1</v>
      </c>
      <c r="D113" s="118" t="str">
        <f>MONTH(D112)+2 &amp; "/1/" &amp; YEAR(D112)</f>
        <v>6/1/2022</v>
      </c>
      <c r="E113" s="119" t="str">
        <f>"Rent: "&amp;LOOKUP(A113-1, Months, TextMonths)&amp;" '"&amp;B113</f>
        <v>Rent: Jun '2022</v>
      </c>
      <c r="F113" s="103"/>
      <c r="G113" s="103">
        <v>2000</v>
      </c>
      <c r="H113" s="105">
        <f t="shared" si="11"/>
        <v>2000</v>
      </c>
      <c r="I113" s="120"/>
      <c r="J113" s="120"/>
      <c r="K113" s="120"/>
      <c r="L113" s="121"/>
    </row>
    <row r="114" spans="1:12" ht="12.75" customHeight="1" x14ac:dyDescent="0.25">
      <c r="A114" s="116">
        <f t="shared" si="8"/>
        <v>5</v>
      </c>
      <c r="B114" s="100">
        <f t="shared" si="9"/>
        <v>2022</v>
      </c>
      <c r="C114" s="100" t="str">
        <f t="shared" si="10"/>
        <v>Income: 1</v>
      </c>
      <c r="D114" s="101">
        <v>44712</v>
      </c>
      <c r="E114" s="102" t="s">
        <v>51</v>
      </c>
      <c r="F114" s="103">
        <v>2000</v>
      </c>
      <c r="G114" s="103"/>
      <c r="H114" s="105">
        <f t="shared" si="11"/>
        <v>0</v>
      </c>
      <c r="I114" s="120"/>
      <c r="J114" s="120"/>
      <c r="K114" s="120"/>
      <c r="L114" s="121"/>
    </row>
    <row r="115" spans="1:12" ht="12.75" customHeight="1" x14ac:dyDescent="0.25">
      <c r="A115" s="116">
        <f>MONTH(D115)</f>
        <v>7</v>
      </c>
      <c r="B115" s="100">
        <f>YEAR(D115)</f>
        <v>2022</v>
      </c>
      <c r="C115" s="100" t="str">
        <f>IFERROR("Rent: "&amp;FIND("Rent",E115),IFERROR("Priv Tax: "&amp;FIND("Tax",E115), IFERROR("Income: "&amp;FIND("Payment",E115,1),"")))</f>
        <v>Rent: 1</v>
      </c>
      <c r="D115" s="118" t="str">
        <f>MONTH(D114)+2 &amp; "/1/" &amp; YEAR(D114)</f>
        <v>7/1/2022</v>
      </c>
      <c r="E115" s="119" t="str">
        <f>"Rent: "&amp;LOOKUP(A115-1, Months, TextMonths)&amp;" '"&amp;B115</f>
        <v>Rent: Jul '2022</v>
      </c>
      <c r="F115" s="103"/>
      <c r="G115" s="103">
        <v>2000</v>
      </c>
      <c r="H115" s="105">
        <f t="shared" si="11"/>
        <v>2000</v>
      </c>
      <c r="I115" s="134"/>
      <c r="J115" s="134"/>
      <c r="K115" s="120"/>
      <c r="L115" s="121"/>
    </row>
    <row r="116" spans="1:12" ht="12.75" customHeight="1" thickBot="1" x14ac:dyDescent="0.3">
      <c r="A116" s="122">
        <f>MONTH(D116)</f>
        <v>6</v>
      </c>
      <c r="B116" s="123">
        <f>YEAR(D116)</f>
        <v>2022</v>
      </c>
      <c r="C116" s="123" t="str">
        <f>IFERROR("Rent: "&amp;FIND("Rent",E116),IFERROR("Priv Tax: "&amp;FIND("Tax",E116), IFERROR("Income: "&amp;FIND("Payment",E116,1),"")))</f>
        <v>Income: 1</v>
      </c>
      <c r="D116" s="139">
        <v>44742</v>
      </c>
      <c r="E116" s="129" t="s">
        <v>51</v>
      </c>
      <c r="F116" s="126">
        <v>2000</v>
      </c>
      <c r="G116" s="126"/>
      <c r="H116" s="128">
        <f t="shared" si="11"/>
        <v>0</v>
      </c>
      <c r="I116" s="126"/>
      <c r="J116" s="126"/>
      <c r="K116" s="137"/>
      <c r="L116" s="138"/>
    </row>
    <row r="117" spans="1:12" ht="12.75" customHeight="1" x14ac:dyDescent="0.25">
      <c r="A117" s="100">
        <f t="shared" ref="A117:A122" si="12">MONTH(D117)</f>
        <v>8</v>
      </c>
      <c r="B117" s="100">
        <f t="shared" ref="B117:B122" si="13">YEAR(D117)</f>
        <v>2022</v>
      </c>
      <c r="C117" s="100" t="str">
        <f t="shared" ref="C117:C122" si="14">IFERROR("Rent: "&amp;FIND("Rent",E117),IFERROR("Priv Tax: "&amp;FIND("Tax",E117), IFERROR("Income: "&amp;FIND("Payment",E117,1),"")))</f>
        <v>Rent: 1</v>
      </c>
      <c r="D117" s="118" t="str">
        <f>MONTH(D116)+2 &amp; "/1/" &amp; YEAR(D116)</f>
        <v>8/1/2022</v>
      </c>
      <c r="E117" s="119" t="str">
        <f>"Rent: "&amp;LOOKUP(A117-1, Months, TextMonths)&amp;" '"&amp;B117</f>
        <v>Rent: Aug '2022</v>
      </c>
      <c r="F117" s="103"/>
      <c r="G117" s="103">
        <v>2075</v>
      </c>
      <c r="H117" s="105">
        <f t="shared" si="11"/>
        <v>2075</v>
      </c>
      <c r="I117" s="120"/>
    </row>
    <row r="118" spans="1:12" ht="12.75" customHeight="1" x14ac:dyDescent="0.25">
      <c r="A118" s="100">
        <f t="shared" si="12"/>
        <v>8</v>
      </c>
      <c r="B118" s="100">
        <f t="shared" si="13"/>
        <v>2022</v>
      </c>
      <c r="C118" s="100" t="str">
        <f t="shared" si="14"/>
        <v>Income: 1</v>
      </c>
      <c r="D118" s="101">
        <v>44774</v>
      </c>
      <c r="E118" s="102" t="s">
        <v>51</v>
      </c>
      <c r="F118" s="103">
        <v>2075</v>
      </c>
      <c r="G118" s="103"/>
      <c r="H118" s="105">
        <f t="shared" si="11"/>
        <v>0</v>
      </c>
      <c r="I118" s="120"/>
    </row>
    <row r="119" spans="1:12" ht="12.75" customHeight="1" x14ac:dyDescent="0.25">
      <c r="A119" s="116">
        <f t="shared" si="12"/>
        <v>9</v>
      </c>
      <c r="B119" s="100">
        <f t="shared" si="13"/>
        <v>2022</v>
      </c>
      <c r="C119" s="100" t="str">
        <f t="shared" si="14"/>
        <v>Rent: 1</v>
      </c>
      <c r="D119" s="118" t="str">
        <f>MONTH(D118)+1 &amp; "/1/" &amp; YEAR(D118)</f>
        <v>9/1/2022</v>
      </c>
      <c r="E119" s="119" t="str">
        <f>"Rent: "&amp;LOOKUP(A119-1, Months, TextMonths)&amp;" '"&amp;B119</f>
        <v>Rent: Sep '2022</v>
      </c>
      <c r="F119" s="103"/>
      <c r="G119" s="103">
        <v>2075</v>
      </c>
      <c r="H119" s="105">
        <f t="shared" si="11"/>
        <v>2075</v>
      </c>
      <c r="I119" s="120"/>
      <c r="J119" s="120"/>
      <c r="K119" s="120"/>
      <c r="L119" s="121"/>
    </row>
    <row r="120" spans="1:12" ht="12.75" customHeight="1" x14ac:dyDescent="0.25">
      <c r="A120" s="116">
        <f t="shared" si="12"/>
        <v>8</v>
      </c>
      <c r="B120" s="100">
        <f t="shared" si="13"/>
        <v>2022</v>
      </c>
      <c r="C120" s="100" t="str">
        <f t="shared" si="14"/>
        <v>Income: 1</v>
      </c>
      <c r="D120" s="101">
        <v>44803</v>
      </c>
      <c r="E120" s="102" t="s">
        <v>51</v>
      </c>
      <c r="F120" s="103">
        <v>2075</v>
      </c>
      <c r="G120" s="103"/>
      <c r="H120" s="105">
        <f t="shared" si="11"/>
        <v>0</v>
      </c>
      <c r="I120" s="120"/>
      <c r="J120" s="120"/>
      <c r="K120" s="120"/>
      <c r="L120" s="121"/>
    </row>
    <row r="121" spans="1:12" ht="12.75" customHeight="1" x14ac:dyDescent="0.25">
      <c r="A121" s="116">
        <f t="shared" si="12"/>
        <v>10</v>
      </c>
      <c r="B121" s="100">
        <f t="shared" si="13"/>
        <v>2022</v>
      </c>
      <c r="C121" s="100" t="str">
        <f t="shared" si="14"/>
        <v>Rent: 1</v>
      </c>
      <c r="D121" s="118" t="str">
        <f>MONTH(D120)+2 &amp; "/1/" &amp; YEAR(D120)</f>
        <v>10/1/2022</v>
      </c>
      <c r="E121" s="119" t="str">
        <f>"Rent: "&amp;LOOKUP(A121-1, Months, TextMonths)&amp;" '"&amp;B121</f>
        <v>Rent: Oct '2022</v>
      </c>
      <c r="F121" s="103"/>
      <c r="G121" s="103">
        <v>2075</v>
      </c>
      <c r="H121" s="105">
        <f t="shared" si="11"/>
        <v>2075</v>
      </c>
      <c r="I121" s="134"/>
      <c r="J121" s="134"/>
      <c r="K121" s="120"/>
      <c r="L121" s="121"/>
    </row>
    <row r="122" spans="1:12" ht="12.75" customHeight="1" thickBot="1" x14ac:dyDescent="0.3">
      <c r="A122" s="122">
        <f t="shared" si="12"/>
        <v>9</v>
      </c>
      <c r="B122" s="123">
        <f t="shared" si="13"/>
        <v>2022</v>
      </c>
      <c r="C122" s="123" t="str">
        <f t="shared" si="14"/>
        <v>Income: 1</v>
      </c>
      <c r="D122" s="139">
        <v>44833</v>
      </c>
      <c r="E122" s="129" t="s">
        <v>51</v>
      </c>
      <c r="F122" s="126">
        <v>2075</v>
      </c>
      <c r="G122" s="126"/>
      <c r="H122" s="128">
        <f t="shared" si="11"/>
        <v>0</v>
      </c>
      <c r="I122" s="126"/>
      <c r="J122" s="126"/>
      <c r="K122" s="137"/>
      <c r="L122" s="138"/>
    </row>
    <row r="123" spans="1:12" ht="12.75" customHeight="1" x14ac:dyDescent="0.25">
      <c r="A123" s="107">
        <f t="shared" ref="A123:A128" si="15">MONTH(D123)</f>
        <v>11</v>
      </c>
      <c r="B123" s="108">
        <f t="shared" ref="B123:B128" si="16">YEAR(D123)</f>
        <v>2022</v>
      </c>
      <c r="C123" s="108" t="str">
        <f t="shared" ref="C123:C128" si="17">IFERROR("Rent: "&amp;FIND("Rent",E123),IFERROR("Priv Tax: "&amp;FIND("Tax",E123), IFERROR("Income: "&amp;FIND("Payment",E123,1),"")))</f>
        <v>Rent: 1</v>
      </c>
      <c r="D123" s="109" t="str">
        <f>MONTH(D122)+2 &amp; "/1/" &amp; YEAR(D122)</f>
        <v>11/1/2022</v>
      </c>
      <c r="E123" s="110" t="str">
        <f>"Rent: "&amp;LOOKUP(A123-1, Months, TextMonths)&amp;" '"&amp;B123</f>
        <v>Rent: Nov '2022</v>
      </c>
      <c r="F123" s="111"/>
      <c r="G123" s="111">
        <v>2075</v>
      </c>
      <c r="H123" s="113">
        <f t="shared" si="11"/>
        <v>2075</v>
      </c>
      <c r="I123" s="114"/>
      <c r="J123" s="114"/>
      <c r="K123" s="114"/>
      <c r="L123" s="115"/>
    </row>
    <row r="124" spans="1:12" ht="12.75" customHeight="1" x14ac:dyDescent="0.25">
      <c r="A124" s="116">
        <f t="shared" si="15"/>
        <v>10</v>
      </c>
      <c r="B124" s="100">
        <f t="shared" si="16"/>
        <v>2022</v>
      </c>
      <c r="C124" s="100" t="str">
        <f t="shared" si="17"/>
        <v>Income: 1</v>
      </c>
      <c r="D124" s="101">
        <v>44865</v>
      </c>
      <c r="E124" s="102" t="s">
        <v>51</v>
      </c>
      <c r="F124" s="103">
        <v>2075</v>
      </c>
      <c r="G124" s="103"/>
      <c r="H124" s="105">
        <f t="shared" si="11"/>
        <v>0</v>
      </c>
      <c r="I124" s="120"/>
      <c r="J124" s="120"/>
      <c r="K124" s="120"/>
      <c r="L124" s="121"/>
    </row>
    <row r="125" spans="1:12" ht="12.75" customHeight="1" x14ac:dyDescent="0.25">
      <c r="A125" s="116">
        <f t="shared" si="15"/>
        <v>12</v>
      </c>
      <c r="B125" s="100">
        <f t="shared" si="16"/>
        <v>2022</v>
      </c>
      <c r="C125" s="100" t="str">
        <f t="shared" si="17"/>
        <v>Rent: 1</v>
      </c>
      <c r="D125" s="118" t="str">
        <f>MONTH(D124)+2 &amp; "/1/" &amp; YEAR(D124)</f>
        <v>12/1/2022</v>
      </c>
      <c r="E125" s="119" t="str">
        <f>"Rent: "&amp;LOOKUP(A125-1, Months, TextMonths)&amp;" '"&amp;B125</f>
        <v>Rent: Dec '2022</v>
      </c>
      <c r="F125" s="103"/>
      <c r="G125" s="103">
        <v>2075</v>
      </c>
      <c r="H125" s="105">
        <f t="shared" si="11"/>
        <v>2075</v>
      </c>
      <c r="I125" s="120"/>
      <c r="J125" s="120"/>
      <c r="K125" s="120"/>
      <c r="L125" s="121"/>
    </row>
    <row r="126" spans="1:12" ht="12.75" customHeight="1" x14ac:dyDescent="0.25">
      <c r="A126" s="116">
        <f t="shared" si="15"/>
        <v>11</v>
      </c>
      <c r="B126" s="100">
        <f t="shared" si="16"/>
        <v>2022</v>
      </c>
      <c r="C126" s="100" t="str">
        <f t="shared" si="17"/>
        <v>Income: 1</v>
      </c>
      <c r="D126" s="101">
        <v>44894</v>
      </c>
      <c r="E126" s="102" t="s">
        <v>51</v>
      </c>
      <c r="F126" s="103">
        <v>2075</v>
      </c>
      <c r="G126" s="103"/>
      <c r="H126" s="105">
        <f t="shared" si="11"/>
        <v>0</v>
      </c>
      <c r="I126" s="120"/>
      <c r="J126" s="120"/>
      <c r="K126" s="120"/>
      <c r="L126" s="121"/>
    </row>
    <row r="127" spans="1:12" ht="12.75" customHeight="1" x14ac:dyDescent="0.25">
      <c r="A127" s="116">
        <f t="shared" si="15"/>
        <v>1</v>
      </c>
      <c r="B127" s="100">
        <f t="shared" si="16"/>
        <v>2023</v>
      </c>
      <c r="C127" s="100" t="str">
        <f t="shared" si="17"/>
        <v>Rent: 1</v>
      </c>
      <c r="D127" s="118">
        <v>44927</v>
      </c>
      <c r="E127" s="119" t="str">
        <f>"Rent: "&amp;LOOKUP(A127-1, Months, TextMonths)&amp;" '"&amp;B127</f>
        <v>Rent: Jan '2023</v>
      </c>
      <c r="F127" s="103"/>
      <c r="G127" s="103">
        <v>2075</v>
      </c>
      <c r="H127" s="105">
        <f t="shared" si="11"/>
        <v>2075</v>
      </c>
      <c r="I127" s="134"/>
      <c r="J127" s="134"/>
      <c r="K127" s="120"/>
      <c r="L127" s="121"/>
    </row>
    <row r="128" spans="1:12" ht="12.75" customHeight="1" thickBot="1" x14ac:dyDescent="0.3">
      <c r="A128" s="122">
        <f t="shared" si="15"/>
        <v>12</v>
      </c>
      <c r="B128" s="123">
        <f t="shared" si="16"/>
        <v>2022</v>
      </c>
      <c r="C128" s="123" t="str">
        <f t="shared" si="17"/>
        <v>Income: 1</v>
      </c>
      <c r="D128" s="139">
        <v>44925</v>
      </c>
      <c r="E128" s="129" t="s">
        <v>51</v>
      </c>
      <c r="F128" s="126">
        <v>2075</v>
      </c>
      <c r="G128" s="126"/>
      <c r="H128" s="128">
        <f t="shared" si="11"/>
        <v>0</v>
      </c>
      <c r="I128" s="126"/>
      <c r="J128" s="126"/>
      <c r="K128" s="137"/>
      <c r="L128" s="138"/>
    </row>
    <row r="129" spans="1:8" ht="12.75" customHeight="1" x14ac:dyDescent="0.25">
      <c r="A129">
        <f xml:space="preserve"> MONTH(D129)</f>
        <v>4</v>
      </c>
      <c r="B129">
        <f xml:space="preserve"> YEAR(D129)</f>
        <v>2023</v>
      </c>
      <c r="D129" s="140">
        <v>45043</v>
      </c>
      <c r="E129" t="s">
        <v>149</v>
      </c>
      <c r="F129" s="36"/>
      <c r="G129" s="36">
        <v>666</v>
      </c>
      <c r="H129" s="36">
        <f xml:space="preserve"> H128-G129+ F129</f>
        <v>-666</v>
      </c>
    </row>
    <row r="130" spans="1:8" ht="12.75" customHeight="1" x14ac:dyDescent="0.25">
      <c r="A130">
        <f xml:space="preserve"> MONTH(D130)</f>
        <v>4</v>
      </c>
      <c r="B130">
        <f xml:space="preserve"> YEAR(D130)</f>
        <v>2023</v>
      </c>
      <c r="D130" s="140">
        <v>45043</v>
      </c>
      <c r="E130" t="s">
        <v>51</v>
      </c>
      <c r="F130" s="36">
        <v>666</v>
      </c>
      <c r="G130" s="36"/>
      <c r="H130" s="36">
        <f xml:space="preserve"> H129-G130+ F130</f>
        <v>0</v>
      </c>
    </row>
    <row r="131" spans="1:8" ht="12.75" customHeight="1" x14ac:dyDescent="0.25">
      <c r="A131">
        <f xml:space="preserve"> MONTH(D131)</f>
        <v>4</v>
      </c>
      <c r="B131">
        <f xml:space="preserve"> YEAR(D131)</f>
        <v>2023</v>
      </c>
      <c r="D131" s="140">
        <v>45043</v>
      </c>
      <c r="E131" t="s">
        <v>150</v>
      </c>
      <c r="F131" s="36"/>
      <c r="G131" s="36">
        <v>900</v>
      </c>
      <c r="H131" s="36">
        <f xml:space="preserve"> H130-G131+ F131</f>
        <v>-900</v>
      </c>
    </row>
    <row r="132" spans="1:8" ht="12.75" customHeight="1" x14ac:dyDescent="0.25">
      <c r="A132">
        <f xml:space="preserve"> MONTH(D132)</f>
        <v>4</v>
      </c>
      <c r="B132">
        <f xml:space="preserve"> YEAR(D132)</f>
        <v>2023</v>
      </c>
      <c r="D132" s="140">
        <v>45043</v>
      </c>
      <c r="E132" t="s">
        <v>51</v>
      </c>
      <c r="F132" s="36">
        <v>900</v>
      </c>
      <c r="G132" s="36"/>
      <c r="H132" s="36">
        <f xml:space="preserve"> H131-G132+ F132</f>
        <v>0</v>
      </c>
    </row>
    <row r="133" spans="1:8" ht="12.75" customHeight="1" x14ac:dyDescent="0.25">
      <c r="F133" s="36"/>
      <c r="G133" s="36"/>
      <c r="H133" s="36"/>
    </row>
    <row r="134" spans="1:8" ht="12.75" customHeight="1" x14ac:dyDescent="0.25">
      <c r="F134" s="36"/>
      <c r="G134" s="36"/>
      <c r="H134" s="36"/>
    </row>
    <row r="135" spans="1:8" ht="12.75" customHeight="1" x14ac:dyDescent="0.25">
      <c r="F135" s="36"/>
      <c r="G135" s="36"/>
      <c r="H135" s="36"/>
    </row>
    <row r="136" spans="1:8" ht="12.75" customHeight="1" x14ac:dyDescent="0.25">
      <c r="F136" s="36"/>
      <c r="G136" s="36"/>
      <c r="H136" s="36"/>
    </row>
    <row r="137" spans="1:8" ht="12.75" customHeight="1" x14ac:dyDescent="0.25">
      <c r="F137" s="36"/>
      <c r="G137" s="36"/>
      <c r="H137" s="36"/>
    </row>
    <row r="138" spans="1:8" ht="12.75" customHeight="1" x14ac:dyDescent="0.25">
      <c r="F138" s="36"/>
      <c r="G138" s="36"/>
      <c r="H138" s="36"/>
    </row>
    <row r="139" spans="1:8" ht="12.75" customHeight="1" x14ac:dyDescent="0.25">
      <c r="F139" s="36"/>
      <c r="G139" s="36"/>
      <c r="H139" s="36"/>
    </row>
    <row r="140" spans="1:8" ht="12.75" customHeight="1" x14ac:dyDescent="0.25">
      <c r="F140" s="36"/>
      <c r="G140" s="36"/>
      <c r="H140" s="36"/>
    </row>
    <row r="141" spans="1:8" ht="12.75" customHeight="1" x14ac:dyDescent="0.25">
      <c r="F141" s="36"/>
      <c r="G141" s="36"/>
      <c r="H141" s="36"/>
    </row>
    <row r="142" spans="1:8" ht="12.75" customHeight="1" x14ac:dyDescent="0.25">
      <c r="F142" s="36"/>
      <c r="G142" s="36"/>
      <c r="H142" s="36"/>
    </row>
    <row r="143" spans="1:8" ht="12.75" customHeight="1" x14ac:dyDescent="0.25">
      <c r="F143" s="36"/>
      <c r="G143" s="36"/>
      <c r="H143" s="36"/>
    </row>
    <row r="144" spans="1:8" ht="12.75" customHeight="1" x14ac:dyDescent="0.25">
      <c r="F144" s="36"/>
      <c r="G144" s="36"/>
      <c r="H144" s="36"/>
    </row>
    <row r="145" spans="6:8" ht="12.75" customHeight="1" x14ac:dyDescent="0.25">
      <c r="F145" s="36"/>
      <c r="G145" s="36"/>
      <c r="H145" s="36"/>
    </row>
    <row r="146" spans="6:8" ht="12.75" customHeight="1" x14ac:dyDescent="0.25">
      <c r="F146" s="36"/>
      <c r="G146" s="36"/>
      <c r="H146" s="36"/>
    </row>
    <row r="147" spans="6:8" ht="12.75" customHeight="1" x14ac:dyDescent="0.25">
      <c r="F147" s="36"/>
      <c r="G147" s="36"/>
      <c r="H147" s="36"/>
    </row>
    <row r="148" spans="6:8" ht="12.75" customHeight="1" x14ac:dyDescent="0.25">
      <c r="F148" s="36"/>
      <c r="G148" s="36"/>
      <c r="H148" s="36"/>
    </row>
    <row r="149" spans="6:8" ht="12.75" customHeight="1" x14ac:dyDescent="0.25">
      <c r="F149" s="36"/>
      <c r="G149" s="36"/>
      <c r="H149" s="36"/>
    </row>
    <row r="150" spans="6:8" ht="12.75" customHeight="1" x14ac:dyDescent="0.25">
      <c r="F150" s="36"/>
      <c r="G150" s="36"/>
      <c r="H150" s="36"/>
    </row>
    <row r="151" spans="6:8" ht="12.75" customHeight="1" x14ac:dyDescent="0.25">
      <c r="F151" s="36"/>
      <c r="G151" s="36"/>
      <c r="H151" s="36"/>
    </row>
    <row r="152" spans="6:8" ht="12.75" customHeight="1" x14ac:dyDescent="0.25">
      <c r="F152" s="36"/>
      <c r="G152" s="36"/>
      <c r="H152" s="36"/>
    </row>
    <row r="153" spans="6:8" ht="12.75" customHeight="1" x14ac:dyDescent="0.25">
      <c r="F153" s="36"/>
      <c r="G153" s="36"/>
      <c r="H153" s="36"/>
    </row>
    <row r="154" spans="6:8" ht="12.75" customHeight="1" x14ac:dyDescent="0.25">
      <c r="F154" s="36"/>
      <c r="G154" s="36"/>
      <c r="H154" s="36"/>
    </row>
    <row r="155" spans="6:8" ht="12.75" customHeight="1" x14ac:dyDescent="0.25">
      <c r="F155" s="36"/>
      <c r="G155" s="36"/>
      <c r="H155" s="36"/>
    </row>
    <row r="156" spans="6:8" ht="12.75" customHeight="1" x14ac:dyDescent="0.25">
      <c r="F156" s="36"/>
      <c r="G156" s="36"/>
      <c r="H156" s="36"/>
    </row>
    <row r="157" spans="6:8" ht="12.75" customHeight="1" x14ac:dyDescent="0.25">
      <c r="F157" s="36"/>
      <c r="G157" s="36"/>
      <c r="H157" s="36"/>
    </row>
    <row r="158" spans="6:8" ht="12.75" customHeight="1" x14ac:dyDescent="0.25">
      <c r="F158" s="36"/>
      <c r="G158" s="36"/>
      <c r="H158" s="36"/>
    </row>
    <row r="159" spans="6:8" ht="12.75" customHeight="1" x14ac:dyDescent="0.25">
      <c r="F159" s="36"/>
      <c r="G159" s="36"/>
      <c r="H159" s="36"/>
    </row>
    <row r="160" spans="6:8" ht="12.75" customHeight="1" x14ac:dyDescent="0.25">
      <c r="F160" s="36"/>
      <c r="G160" s="36"/>
      <c r="H160" s="36"/>
    </row>
    <row r="161" spans="6:8" ht="12.75" customHeight="1" x14ac:dyDescent="0.25">
      <c r="F161" s="36"/>
      <c r="G161" s="36"/>
      <c r="H161" s="36"/>
    </row>
    <row r="162" spans="6:8" ht="12.75" customHeight="1" x14ac:dyDescent="0.25">
      <c r="F162" s="36"/>
      <c r="G162" s="36"/>
      <c r="H162" s="36"/>
    </row>
    <row r="163" spans="6:8" ht="12.75" customHeight="1" x14ac:dyDescent="0.25">
      <c r="F163" s="36"/>
      <c r="G163" s="36"/>
      <c r="H163" s="36"/>
    </row>
    <row r="164" spans="6:8" ht="12.75" customHeight="1" x14ac:dyDescent="0.25">
      <c r="F164" s="36"/>
      <c r="G164" s="36"/>
      <c r="H164" s="36"/>
    </row>
    <row r="165" spans="6:8" ht="12.75" customHeight="1" x14ac:dyDescent="0.25">
      <c r="F165" s="36"/>
      <c r="G165" s="36"/>
      <c r="H165" s="36"/>
    </row>
    <row r="166" spans="6:8" ht="12.75" customHeight="1" x14ac:dyDescent="0.25">
      <c r="F166" s="36"/>
      <c r="G166" s="36"/>
      <c r="H166" s="36"/>
    </row>
    <row r="167" spans="6:8" ht="12.75" customHeight="1" x14ac:dyDescent="0.25">
      <c r="F167" s="36"/>
      <c r="G167" s="36"/>
      <c r="H167" s="36"/>
    </row>
    <row r="168" spans="6:8" ht="12.75" customHeight="1" x14ac:dyDescent="0.25">
      <c r="F168" s="36"/>
      <c r="G168" s="36"/>
      <c r="H168" s="36"/>
    </row>
    <row r="169" spans="6:8" ht="12.75" customHeight="1" x14ac:dyDescent="0.25">
      <c r="F169" s="36"/>
      <c r="G169" s="36"/>
      <c r="H169" s="36"/>
    </row>
    <row r="170" spans="6:8" ht="12.75" customHeight="1" x14ac:dyDescent="0.25">
      <c r="F170" s="36"/>
      <c r="G170" s="36"/>
      <c r="H170" s="36"/>
    </row>
    <row r="171" spans="6:8" ht="12.75" customHeight="1" x14ac:dyDescent="0.25">
      <c r="F171" s="36"/>
      <c r="G171" s="36"/>
      <c r="H171" s="36"/>
    </row>
    <row r="172" spans="6:8" ht="12.75" customHeight="1" x14ac:dyDescent="0.25">
      <c r="F172" s="36"/>
      <c r="G172" s="36"/>
      <c r="H172" s="36"/>
    </row>
    <row r="173" spans="6:8" ht="12.75" customHeight="1" x14ac:dyDescent="0.25">
      <c r="F173" s="36"/>
      <c r="G173" s="36"/>
      <c r="H173" s="36"/>
    </row>
    <row r="174" spans="6:8" ht="12.75" customHeight="1" x14ac:dyDescent="0.25">
      <c r="F174" s="36"/>
      <c r="G174" s="36"/>
      <c r="H174" s="36"/>
    </row>
    <row r="175" spans="6:8" ht="12.75" customHeight="1" x14ac:dyDescent="0.25">
      <c r="F175" s="36"/>
      <c r="G175" s="36"/>
      <c r="H175" s="36"/>
    </row>
    <row r="176" spans="6:8" ht="12.75" customHeight="1" x14ac:dyDescent="0.25">
      <c r="F176" s="36"/>
      <c r="G176" s="36"/>
      <c r="H176" s="36"/>
    </row>
    <row r="177" spans="6:8" ht="12.75" customHeight="1" x14ac:dyDescent="0.25">
      <c r="F177" s="36"/>
      <c r="G177" s="36"/>
      <c r="H177" s="36"/>
    </row>
    <row r="178" spans="6:8" ht="12.75" customHeight="1" x14ac:dyDescent="0.25">
      <c r="F178" s="36"/>
      <c r="G178" s="36"/>
      <c r="H178" s="36"/>
    </row>
    <row r="179" spans="6:8" ht="12.75" customHeight="1" x14ac:dyDescent="0.25">
      <c r="F179" s="36"/>
      <c r="G179" s="36"/>
      <c r="H179" s="36"/>
    </row>
    <row r="180" spans="6:8" ht="12.75" customHeight="1" x14ac:dyDescent="0.25">
      <c r="F180" s="36"/>
      <c r="G180" s="36"/>
      <c r="H180" s="36"/>
    </row>
    <row r="181" spans="6:8" ht="12.75" customHeight="1" x14ac:dyDescent="0.25">
      <c r="F181" s="36"/>
      <c r="G181" s="36"/>
      <c r="H181" s="36"/>
    </row>
    <row r="182" spans="6:8" ht="12.75" customHeight="1" x14ac:dyDescent="0.25">
      <c r="F182" s="36"/>
      <c r="G182" s="36"/>
      <c r="H182" s="36"/>
    </row>
    <row r="183" spans="6:8" ht="12.75" customHeight="1" x14ac:dyDescent="0.25">
      <c r="F183" s="36"/>
      <c r="G183" s="36"/>
      <c r="H183" s="36"/>
    </row>
    <row r="184" spans="6:8" ht="12.75" customHeight="1" x14ac:dyDescent="0.25">
      <c r="F184" s="36"/>
      <c r="G184" s="36"/>
      <c r="H184" s="36"/>
    </row>
    <row r="185" spans="6:8" ht="12.75" customHeight="1" x14ac:dyDescent="0.25">
      <c r="F185" s="36"/>
      <c r="G185" s="36"/>
      <c r="H185" s="36"/>
    </row>
    <row r="186" spans="6:8" ht="12.75" customHeight="1" x14ac:dyDescent="0.25">
      <c r="F186" s="36"/>
      <c r="G186" s="36"/>
      <c r="H186" s="36"/>
    </row>
    <row r="187" spans="6:8" ht="12.75" customHeight="1" x14ac:dyDescent="0.25">
      <c r="F187" s="36"/>
      <c r="G187" s="36"/>
      <c r="H187" s="36"/>
    </row>
    <row r="188" spans="6:8" ht="12.75" customHeight="1" x14ac:dyDescent="0.25">
      <c r="F188" s="36"/>
      <c r="G188" s="36"/>
      <c r="H188" s="36"/>
    </row>
    <row r="189" spans="6:8" ht="12.75" customHeight="1" x14ac:dyDescent="0.25">
      <c r="F189" s="36"/>
      <c r="G189" s="36"/>
      <c r="H189" s="36"/>
    </row>
    <row r="190" spans="6:8" ht="12.75" customHeight="1" x14ac:dyDescent="0.25">
      <c r="F190" s="36"/>
      <c r="G190" s="36"/>
      <c r="H190" s="36"/>
    </row>
    <row r="191" spans="6:8" ht="12.75" customHeight="1" x14ac:dyDescent="0.25">
      <c r="F191" s="36"/>
      <c r="G191" s="36"/>
      <c r="H191" s="36"/>
    </row>
    <row r="192" spans="6:8" ht="12.75" customHeight="1" x14ac:dyDescent="0.25">
      <c r="F192" s="36"/>
      <c r="G192" s="36"/>
      <c r="H192" s="36"/>
    </row>
    <row r="193" spans="6:8" ht="12.75" customHeight="1" x14ac:dyDescent="0.25">
      <c r="F193" s="36"/>
      <c r="G193" s="36"/>
      <c r="H193" s="36"/>
    </row>
    <row r="194" spans="6:8" ht="12.75" customHeight="1" x14ac:dyDescent="0.25">
      <c r="F194" s="36"/>
      <c r="G194" s="36"/>
      <c r="H194" s="36"/>
    </row>
    <row r="195" spans="6:8" ht="12.75" customHeight="1" x14ac:dyDescent="0.25">
      <c r="F195" s="36"/>
      <c r="G195" s="36"/>
      <c r="H195" s="36"/>
    </row>
    <row r="196" spans="6:8" ht="12.75" customHeight="1" x14ac:dyDescent="0.25">
      <c r="F196" s="36"/>
      <c r="G196" s="36"/>
      <c r="H196" s="36"/>
    </row>
    <row r="197" spans="6:8" ht="12.75" customHeight="1" x14ac:dyDescent="0.25">
      <c r="F197" s="36"/>
      <c r="G197" s="36"/>
      <c r="H197" s="36"/>
    </row>
    <row r="198" spans="6:8" ht="12.75" customHeight="1" x14ac:dyDescent="0.25">
      <c r="F198" s="36"/>
      <c r="G198" s="36"/>
      <c r="H198" s="36"/>
    </row>
    <row r="199" spans="6:8" ht="12.75" customHeight="1" x14ac:dyDescent="0.25">
      <c r="F199" s="36"/>
      <c r="G199" s="36"/>
      <c r="H199" s="36"/>
    </row>
    <row r="200" spans="6:8" ht="12.75" customHeight="1" x14ac:dyDescent="0.25">
      <c r="F200" s="36"/>
      <c r="G200" s="36"/>
      <c r="H200" s="36"/>
    </row>
    <row r="201" spans="6:8" ht="12.75" customHeight="1" x14ac:dyDescent="0.25">
      <c r="F201" s="36"/>
      <c r="G201" s="36"/>
      <c r="H201" s="36"/>
    </row>
    <row r="202" spans="6:8" ht="12.75" customHeight="1" x14ac:dyDescent="0.25">
      <c r="F202" s="36"/>
      <c r="G202" s="36"/>
      <c r="H202" s="36"/>
    </row>
    <row r="203" spans="6:8" ht="12.75" customHeight="1" x14ac:dyDescent="0.25">
      <c r="F203" s="36"/>
      <c r="G203" s="36"/>
      <c r="H203" s="36"/>
    </row>
    <row r="204" spans="6:8" ht="12.75" customHeight="1" x14ac:dyDescent="0.25">
      <c r="F204" s="36"/>
      <c r="G204" s="36"/>
      <c r="H204" s="36"/>
    </row>
    <row r="205" spans="6:8" ht="12.75" customHeight="1" x14ac:dyDescent="0.25">
      <c r="F205" s="36"/>
      <c r="G205" s="36"/>
      <c r="H205" s="36"/>
    </row>
    <row r="206" spans="6:8" ht="12.75" customHeight="1" x14ac:dyDescent="0.25">
      <c r="F206" s="36"/>
      <c r="G206" s="36"/>
      <c r="H206" s="36"/>
    </row>
    <row r="207" spans="6:8" ht="12.75" customHeight="1" x14ac:dyDescent="0.25">
      <c r="F207" s="36"/>
      <c r="G207" s="36"/>
      <c r="H207" s="36"/>
    </row>
    <row r="208" spans="6:8" ht="12.75" customHeight="1" x14ac:dyDescent="0.25">
      <c r="F208" s="36"/>
      <c r="G208" s="36"/>
      <c r="H208" s="36"/>
    </row>
    <row r="209" spans="6:8" ht="12.75" customHeight="1" x14ac:dyDescent="0.25">
      <c r="F209" s="36"/>
      <c r="G209" s="36"/>
      <c r="H209" s="36"/>
    </row>
    <row r="210" spans="6:8" ht="12.75" customHeight="1" x14ac:dyDescent="0.25">
      <c r="F210" s="36"/>
      <c r="G210" s="36"/>
      <c r="H210" s="36"/>
    </row>
    <row r="211" spans="6:8" ht="12.75" customHeight="1" x14ac:dyDescent="0.25">
      <c r="F211" s="36"/>
      <c r="G211" s="36"/>
      <c r="H211" s="36"/>
    </row>
    <row r="212" spans="6:8" ht="12.75" customHeight="1" x14ac:dyDescent="0.25">
      <c r="F212" s="36"/>
      <c r="G212" s="36"/>
      <c r="H212" s="36"/>
    </row>
    <row r="213" spans="6:8" ht="12.75" customHeight="1" x14ac:dyDescent="0.25">
      <c r="F213" s="36"/>
      <c r="G213" s="36"/>
      <c r="H213" s="36"/>
    </row>
    <row r="214" spans="6:8" ht="12.75" customHeight="1" x14ac:dyDescent="0.25">
      <c r="F214" s="36"/>
      <c r="G214" s="36"/>
      <c r="H214" s="36"/>
    </row>
    <row r="215" spans="6:8" ht="12.75" customHeight="1" x14ac:dyDescent="0.25">
      <c r="F215" s="36"/>
      <c r="G215" s="36"/>
      <c r="H215" s="36"/>
    </row>
    <row r="216" spans="6:8" ht="12.75" customHeight="1" x14ac:dyDescent="0.25">
      <c r="F216" s="36"/>
      <c r="G216" s="36"/>
      <c r="H216" s="36"/>
    </row>
    <row r="217" spans="6:8" ht="12.75" customHeight="1" x14ac:dyDescent="0.25">
      <c r="F217" s="36"/>
      <c r="G217" s="36"/>
      <c r="H217" s="36"/>
    </row>
    <row r="218" spans="6:8" ht="12.75" customHeight="1" x14ac:dyDescent="0.25">
      <c r="F218" s="36"/>
      <c r="G218" s="36"/>
      <c r="H218" s="36"/>
    </row>
    <row r="219" spans="6:8" ht="12.75" customHeight="1" x14ac:dyDescent="0.25">
      <c r="F219" s="36"/>
      <c r="G219" s="36"/>
      <c r="H219" s="36"/>
    </row>
    <row r="220" spans="6:8" ht="12.75" customHeight="1" x14ac:dyDescent="0.25">
      <c r="F220" s="36"/>
      <c r="G220" s="36"/>
      <c r="H220" s="36"/>
    </row>
    <row r="221" spans="6:8" ht="12.75" customHeight="1" x14ac:dyDescent="0.25">
      <c r="F221" s="36"/>
      <c r="G221" s="36"/>
      <c r="H221" s="36"/>
    </row>
    <row r="222" spans="6:8" ht="12.75" customHeight="1" x14ac:dyDescent="0.25">
      <c r="F222" s="36"/>
      <c r="G222" s="36"/>
      <c r="H222" s="36"/>
    </row>
    <row r="223" spans="6:8" ht="12.75" customHeight="1" x14ac:dyDescent="0.25">
      <c r="F223" s="36"/>
      <c r="G223" s="36"/>
      <c r="H223" s="36"/>
    </row>
    <row r="224" spans="6:8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>
      <c r="F938" s="36"/>
      <c r="G938" s="36"/>
      <c r="H938" s="36"/>
    </row>
    <row r="939" spans="6:8" ht="12.75" customHeight="1" x14ac:dyDescent="0.25">
      <c r="F939" s="36"/>
      <c r="G939" s="36"/>
      <c r="H939" s="36"/>
    </row>
    <row r="940" spans="6:8" ht="12.75" customHeight="1" x14ac:dyDescent="0.25">
      <c r="F940" s="36"/>
      <c r="G940" s="36"/>
      <c r="H940" s="36"/>
    </row>
    <row r="941" spans="6:8" ht="12.75" customHeight="1" x14ac:dyDescent="0.25">
      <c r="F941" s="36"/>
      <c r="G941" s="36"/>
      <c r="H941" s="36"/>
    </row>
    <row r="942" spans="6:8" ht="12.75" customHeight="1" x14ac:dyDescent="0.25">
      <c r="F942" s="36"/>
      <c r="G942" s="36"/>
      <c r="H942" s="36"/>
    </row>
    <row r="943" spans="6:8" ht="12.75" customHeight="1" x14ac:dyDescent="0.25">
      <c r="F943" s="36"/>
      <c r="G943" s="36"/>
      <c r="H943" s="36"/>
    </row>
    <row r="944" spans="6:8" ht="12.75" customHeight="1" x14ac:dyDescent="0.25">
      <c r="F944" s="36"/>
      <c r="G944" s="36"/>
      <c r="H944" s="36"/>
    </row>
    <row r="945" spans="6:8" ht="12.75" customHeight="1" x14ac:dyDescent="0.25">
      <c r="F945" s="36"/>
      <c r="G945" s="36"/>
      <c r="H945" s="36"/>
    </row>
    <row r="946" spans="6:8" ht="12.75" customHeight="1" x14ac:dyDescent="0.25">
      <c r="F946" s="36"/>
      <c r="G946" s="36"/>
      <c r="H946" s="36"/>
    </row>
    <row r="947" spans="6:8" ht="12.75" customHeight="1" x14ac:dyDescent="0.25">
      <c r="F947" s="36"/>
      <c r="G947" s="36"/>
      <c r="H947" s="36"/>
    </row>
    <row r="948" spans="6:8" ht="12.75" customHeight="1" x14ac:dyDescent="0.25">
      <c r="F948" s="36"/>
      <c r="G948" s="36"/>
      <c r="H948" s="36"/>
    </row>
    <row r="949" spans="6:8" ht="12.75" customHeight="1" x14ac:dyDescent="0.25">
      <c r="F949" s="36"/>
      <c r="G949" s="36"/>
      <c r="H949" s="36"/>
    </row>
    <row r="950" spans="6:8" ht="12.75" customHeight="1" x14ac:dyDescent="0.25">
      <c r="F950" s="36"/>
      <c r="G950" s="36"/>
      <c r="H950" s="36"/>
    </row>
    <row r="951" spans="6:8" ht="12.75" customHeight="1" x14ac:dyDescent="0.25">
      <c r="F951" s="36"/>
      <c r="G951" s="36"/>
      <c r="H951" s="36"/>
    </row>
    <row r="952" spans="6:8" ht="12.75" customHeight="1" x14ac:dyDescent="0.25">
      <c r="F952" s="36"/>
      <c r="G952" s="36"/>
      <c r="H952" s="36"/>
    </row>
    <row r="953" spans="6:8" ht="12.75" customHeight="1" x14ac:dyDescent="0.25">
      <c r="F953" s="36"/>
      <c r="G953" s="36"/>
      <c r="H953" s="36"/>
    </row>
    <row r="954" spans="6:8" ht="12.75" customHeight="1" x14ac:dyDescent="0.25">
      <c r="F954" s="36"/>
      <c r="G954" s="36"/>
      <c r="H954" s="36"/>
    </row>
    <row r="955" spans="6:8" ht="12.75" customHeight="1" x14ac:dyDescent="0.25">
      <c r="F955" s="36"/>
      <c r="G955" s="36"/>
      <c r="H955" s="36"/>
    </row>
    <row r="956" spans="6:8" ht="12.75" customHeight="1" x14ac:dyDescent="0.25">
      <c r="F956" s="36"/>
      <c r="G956" s="36"/>
      <c r="H956" s="36"/>
    </row>
    <row r="957" spans="6:8" ht="12.75" customHeight="1" x14ac:dyDescent="0.25">
      <c r="F957" s="36"/>
      <c r="G957" s="36"/>
      <c r="H957" s="36"/>
    </row>
    <row r="958" spans="6:8" ht="12.75" customHeight="1" x14ac:dyDescent="0.25">
      <c r="F958" s="36"/>
      <c r="G958" s="36"/>
      <c r="H958" s="36"/>
    </row>
    <row r="959" spans="6:8" ht="12.75" customHeight="1" x14ac:dyDescent="0.25">
      <c r="F959" s="36"/>
      <c r="G959" s="36"/>
      <c r="H959" s="36"/>
    </row>
    <row r="960" spans="6:8" ht="12.75" customHeight="1" x14ac:dyDescent="0.25">
      <c r="F960" s="36"/>
      <c r="G960" s="36"/>
      <c r="H960" s="36"/>
    </row>
    <row r="961" spans="6:8" ht="12.75" customHeight="1" x14ac:dyDescent="0.25">
      <c r="F961" s="36"/>
      <c r="G961" s="36"/>
      <c r="H961" s="36"/>
    </row>
    <row r="962" spans="6:8" ht="12.75" customHeight="1" x14ac:dyDescent="0.25">
      <c r="F962" s="36"/>
      <c r="G962" s="36"/>
      <c r="H962" s="36"/>
    </row>
    <row r="963" spans="6:8" ht="12.75" customHeight="1" x14ac:dyDescent="0.25">
      <c r="F963" s="36"/>
      <c r="G963" s="36"/>
      <c r="H963" s="36"/>
    </row>
    <row r="964" spans="6:8" ht="12.75" customHeight="1" x14ac:dyDescent="0.25">
      <c r="F964" s="36"/>
      <c r="G964" s="36"/>
      <c r="H964" s="36"/>
    </row>
    <row r="965" spans="6:8" ht="12.75" customHeight="1" x14ac:dyDescent="0.25">
      <c r="F965" s="36"/>
      <c r="G965" s="36"/>
      <c r="H965" s="36"/>
    </row>
    <row r="966" spans="6:8" ht="12.75" customHeight="1" x14ac:dyDescent="0.25">
      <c r="F966" s="36"/>
      <c r="G966" s="36"/>
      <c r="H966" s="36"/>
    </row>
    <row r="967" spans="6:8" ht="12.75" customHeight="1" x14ac:dyDescent="0.25">
      <c r="F967" s="36"/>
      <c r="G967" s="36"/>
      <c r="H967" s="36"/>
    </row>
    <row r="968" spans="6:8" ht="12.75" customHeight="1" x14ac:dyDescent="0.25">
      <c r="F968" s="36"/>
      <c r="G968" s="36"/>
      <c r="H968" s="36"/>
    </row>
    <row r="969" spans="6:8" ht="12.75" customHeight="1" x14ac:dyDescent="0.25">
      <c r="F969" s="36"/>
      <c r="G969" s="36"/>
      <c r="H969" s="36"/>
    </row>
    <row r="970" spans="6:8" ht="12.75" customHeight="1" x14ac:dyDescent="0.25">
      <c r="F970" s="36"/>
      <c r="G970" s="36"/>
      <c r="H970" s="36"/>
    </row>
    <row r="971" spans="6:8" ht="12.75" customHeight="1" x14ac:dyDescent="0.25">
      <c r="F971" s="36"/>
      <c r="G971" s="36"/>
      <c r="H971" s="36"/>
    </row>
    <row r="972" spans="6:8" ht="12.75" customHeight="1" x14ac:dyDescent="0.25">
      <c r="F972" s="36"/>
      <c r="G972" s="36"/>
      <c r="H972" s="36"/>
    </row>
    <row r="973" spans="6:8" ht="12.75" customHeight="1" x14ac:dyDescent="0.25">
      <c r="F973" s="36"/>
      <c r="G973" s="36"/>
      <c r="H973" s="36"/>
    </row>
    <row r="974" spans="6:8" ht="12.75" customHeight="1" x14ac:dyDescent="0.25">
      <c r="F974" s="36"/>
      <c r="G974" s="36"/>
      <c r="H974" s="36"/>
    </row>
    <row r="975" spans="6:8" ht="12.75" customHeight="1" x14ac:dyDescent="0.25">
      <c r="F975" s="36"/>
      <c r="G975" s="36"/>
      <c r="H975" s="36"/>
    </row>
    <row r="976" spans="6:8" ht="12.75" customHeight="1" x14ac:dyDescent="0.25">
      <c r="F976" s="36"/>
      <c r="G976" s="36"/>
      <c r="H976" s="36"/>
    </row>
    <row r="977" spans="6:8" ht="12.75" customHeight="1" x14ac:dyDescent="0.25">
      <c r="F977" s="36"/>
      <c r="G977" s="36"/>
      <c r="H977" s="36"/>
    </row>
    <row r="978" spans="6:8" ht="12.75" customHeight="1" x14ac:dyDescent="0.25">
      <c r="F978" s="36"/>
      <c r="G978" s="36"/>
      <c r="H978" s="36"/>
    </row>
    <row r="979" spans="6:8" ht="12.75" customHeight="1" x14ac:dyDescent="0.25">
      <c r="F979" s="36"/>
      <c r="G979" s="36"/>
      <c r="H979" s="36"/>
    </row>
    <row r="980" spans="6:8" ht="12.75" customHeight="1" x14ac:dyDescent="0.25">
      <c r="F980" s="36"/>
      <c r="G980" s="36"/>
      <c r="H980" s="36"/>
    </row>
    <row r="981" spans="6:8" ht="12.75" customHeight="1" x14ac:dyDescent="0.25">
      <c r="F981" s="36"/>
      <c r="G981" s="36"/>
      <c r="H981" s="36"/>
    </row>
    <row r="982" spans="6:8" ht="12.75" customHeight="1" x14ac:dyDescent="0.25">
      <c r="F982" s="36"/>
      <c r="G982" s="36"/>
      <c r="H982" s="36"/>
    </row>
    <row r="983" spans="6:8" ht="12.75" customHeight="1" x14ac:dyDescent="0.25">
      <c r="F983" s="36"/>
      <c r="G983" s="36"/>
      <c r="H983" s="36"/>
    </row>
    <row r="984" spans="6:8" ht="12.75" customHeight="1" x14ac:dyDescent="0.25">
      <c r="F984" s="36"/>
      <c r="G984" s="36"/>
      <c r="H984" s="36"/>
    </row>
    <row r="985" spans="6:8" ht="12.75" customHeight="1" x14ac:dyDescent="0.25">
      <c r="F985" s="36"/>
      <c r="G985" s="36"/>
      <c r="H985" s="36"/>
    </row>
    <row r="986" spans="6:8" ht="12.75" customHeight="1" x14ac:dyDescent="0.25">
      <c r="F986" s="36"/>
      <c r="G986" s="36"/>
      <c r="H986" s="36"/>
    </row>
    <row r="987" spans="6:8" ht="12.75" customHeight="1" x14ac:dyDescent="0.25">
      <c r="F987" s="36"/>
      <c r="G987" s="36"/>
      <c r="H987" s="36"/>
    </row>
    <row r="988" spans="6:8" ht="12.75" customHeight="1" x14ac:dyDescent="0.25">
      <c r="F988" s="36"/>
      <c r="G988" s="36"/>
      <c r="H988" s="36"/>
    </row>
    <row r="989" spans="6:8" ht="12.75" customHeight="1" x14ac:dyDescent="0.25">
      <c r="F989" s="36"/>
      <c r="G989" s="36"/>
      <c r="H989" s="36"/>
    </row>
    <row r="990" spans="6:8" ht="12.75" customHeight="1" x14ac:dyDescent="0.25">
      <c r="F990" s="36"/>
      <c r="G990" s="36"/>
      <c r="H990" s="36"/>
    </row>
    <row r="991" spans="6:8" ht="12.75" customHeight="1" x14ac:dyDescent="0.25">
      <c r="F991" s="36"/>
      <c r="G991" s="36"/>
      <c r="H991" s="36"/>
    </row>
    <row r="992" spans="6:8" ht="12.75" customHeight="1" x14ac:dyDescent="0.25">
      <c r="F992" s="36"/>
      <c r="G992" s="36"/>
      <c r="H992" s="36"/>
    </row>
    <row r="993" spans="6:8" ht="12.75" customHeight="1" x14ac:dyDescent="0.25">
      <c r="F993" s="36"/>
      <c r="G993" s="36"/>
      <c r="H993" s="36"/>
    </row>
    <row r="994" spans="6:8" ht="12.75" customHeight="1" x14ac:dyDescent="0.25">
      <c r="F994" s="36"/>
      <c r="G994" s="36"/>
      <c r="H994" s="36"/>
    </row>
    <row r="995" spans="6:8" ht="12.75" customHeight="1" x14ac:dyDescent="0.25">
      <c r="F995" s="36"/>
      <c r="G995" s="36"/>
      <c r="H995" s="36"/>
    </row>
    <row r="996" spans="6:8" ht="12.75" customHeight="1" x14ac:dyDescent="0.25">
      <c r="F996" s="36"/>
      <c r="G996" s="36"/>
      <c r="H996" s="36"/>
    </row>
    <row r="997" spans="6:8" ht="12.75" customHeight="1" x14ac:dyDescent="0.25">
      <c r="F997" s="36"/>
      <c r="G997" s="36"/>
      <c r="H997" s="36"/>
    </row>
    <row r="998" spans="6:8" ht="12.75" customHeight="1" x14ac:dyDescent="0.25">
      <c r="F998" s="36"/>
      <c r="G998" s="36"/>
      <c r="H998" s="36"/>
    </row>
    <row r="999" spans="6:8" ht="12.75" customHeight="1" x14ac:dyDescent="0.25">
      <c r="F999" s="36"/>
      <c r="G999" s="36"/>
      <c r="H999" s="36"/>
    </row>
    <row r="1000" spans="6:8" ht="12.75" customHeight="1" x14ac:dyDescent="0.25">
      <c r="F1000" s="36"/>
      <c r="G1000" s="36"/>
      <c r="H1000" s="36"/>
    </row>
  </sheetData>
  <mergeCells count="1">
    <mergeCell ref="I4:K4"/>
  </mergeCells>
  <dataValidations disablePrompts="1" count="1">
    <dataValidation type="list" allowBlank="1" showErrorMessage="1" sqref="F1" xr:uid="{00000000-0002-0000-0900-000000000000}">
      <formula1>Years</formula1>
    </dataValidation>
  </dataValidations>
  <pageMargins left="0.75" right="0.75" top="1" bottom="1" header="0" footer="0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Z1000"/>
  <sheetViews>
    <sheetView zoomScale="55" zoomScaleNormal="55" workbookViewId="0">
      <pane xSplit="3" ySplit="4" topLeftCell="D68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4296875" defaultRowHeight="15" customHeight="1" x14ac:dyDescent="0.25"/>
  <cols>
    <col min="1" max="1" width="6.1796875" customWidth="1"/>
    <col min="2" max="2" width="8.54296875" customWidth="1"/>
    <col min="3" max="3" width="9.81640625" customWidth="1"/>
    <col min="4" max="4" width="10.1796875" customWidth="1"/>
    <col min="5" max="5" width="36.1796875" customWidth="1"/>
    <col min="6" max="6" width="13.453125" customWidth="1"/>
    <col min="7" max="8" width="14.81640625" customWidth="1"/>
    <col min="9" max="9" width="12.1796875" customWidth="1"/>
    <col min="10" max="10" width="10.81640625" customWidth="1"/>
    <col min="11" max="11" width="10.1796875" customWidth="1"/>
    <col min="12" max="12" width="12" customWidth="1"/>
    <col min="13" max="13" width="14.81640625" customWidth="1"/>
    <col min="14" max="14" width="12.1796875" customWidth="1"/>
    <col min="15" max="26" width="8.54296875" customWidth="1"/>
  </cols>
  <sheetData>
    <row r="1" spans="1:14" ht="12.75" customHeight="1" x14ac:dyDescent="0.25">
      <c r="B1" s="30" t="s">
        <v>80</v>
      </c>
      <c r="C1" t="s">
        <v>123</v>
      </c>
      <c r="D1" s="160" t="s">
        <v>141</v>
      </c>
      <c r="E1" s="102"/>
      <c r="F1" s="102"/>
      <c r="G1" s="148" t="s">
        <v>119</v>
      </c>
      <c r="H1" s="34"/>
      <c r="I1" s="145"/>
      <c r="J1" s="102"/>
    </row>
    <row r="2" spans="1:14" ht="12.75" customHeight="1" x14ac:dyDescent="0.25">
      <c r="D2" t="s">
        <v>140</v>
      </c>
      <c r="E2" s="102"/>
      <c r="F2" s="146"/>
      <c r="G2" s="149">
        <v>3</v>
      </c>
      <c r="H2" s="103"/>
      <c r="I2" s="151" t="s">
        <v>41</v>
      </c>
      <c r="J2" s="102"/>
    </row>
    <row r="3" spans="1:14" ht="12.75" customHeight="1" x14ac:dyDescent="0.35">
      <c r="A3" s="30">
        <f>COUNTIF(A5:A65524, "&lt;&gt;")+4</f>
        <v>190</v>
      </c>
      <c r="D3" s="35">
        <f t="array" ref="D3">INDEX(D7:D65523, A3)</f>
        <v>0</v>
      </c>
      <c r="E3" s="120"/>
      <c r="F3" s="103"/>
      <c r="G3" s="147" t="s">
        <v>40</v>
      </c>
      <c r="H3" s="150" cm="1">
        <f t="array" ref="H3">INDEX(H6:H65518, A3)</f>
        <v>0</v>
      </c>
      <c r="I3" s="152">
        <v>45921</v>
      </c>
      <c r="J3" s="103"/>
      <c r="K3" s="67" t="s">
        <v>63</v>
      </c>
    </row>
    <row r="4" spans="1:14" ht="12.75" customHeight="1" x14ac:dyDescent="0.3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181" t="s">
        <v>64</v>
      </c>
      <c r="J4" s="182"/>
      <c r="K4" s="183"/>
      <c r="L4" s="69" t="s">
        <v>65</v>
      </c>
    </row>
    <row r="5" spans="1:14" ht="12.75" customHeight="1" x14ac:dyDescent="0.3">
      <c r="A5" s="55">
        <f>MONTH(D5)</f>
        <v>8</v>
      </c>
      <c r="B5" s="55">
        <f>YEAR(D5)</f>
        <v>2018</v>
      </c>
      <c r="C5" s="55" t="str">
        <f t="shared" ref="C5" si="0">IFERROR("Rent: "&amp;FIND("Rent",E5),IFERROR("Priv Tax: "&amp;FIND("Tax",E5), IFERROR("Income: "&amp;FIND("Payment",E5,1),"")))</f>
        <v/>
      </c>
      <c r="D5" s="165">
        <v>43342</v>
      </c>
      <c r="E5" s="173" t="s">
        <v>151</v>
      </c>
      <c r="F5" s="56"/>
      <c r="G5" s="56"/>
      <c r="H5" s="56"/>
      <c r="I5" s="30"/>
    </row>
    <row r="6" spans="1:14" ht="12.75" customHeight="1" thickBot="1" x14ac:dyDescent="0.35">
      <c r="A6" s="166" t="s">
        <v>129</v>
      </c>
      <c r="D6" s="166" t="s">
        <v>130</v>
      </c>
    </row>
    <row r="7" spans="1:14" ht="12.75" customHeight="1" x14ac:dyDescent="0.35">
      <c r="A7" s="42">
        <f t="shared" ref="A7:A171" si="1">MONTH(D7)</f>
        <v>9</v>
      </c>
      <c r="B7" s="42">
        <f t="shared" ref="B7:B171" si="2">YEAR(D7)</f>
        <v>2018</v>
      </c>
      <c r="C7" s="42" t="str">
        <f>IFERROR("Rent: "&amp;FIND("Rent",E7),IFERROR("Priv Tax: "&amp;FIND("Tax",E7), IFERROR("Income: "&amp;FIND("Payment",E7,1),"")))</f>
        <v/>
      </c>
      <c r="D7" s="52">
        <v>43351</v>
      </c>
      <c r="E7" s="73" t="s">
        <v>81</v>
      </c>
      <c r="F7" s="45"/>
      <c r="G7" s="45">
        <v>300</v>
      </c>
      <c r="H7" s="74">
        <f>G7</f>
        <v>300</v>
      </c>
      <c r="I7" s="33"/>
      <c r="J7" s="33"/>
      <c r="K7" s="33"/>
      <c r="L7" s="75"/>
    </row>
    <row r="8" spans="1:14" ht="12.75" customHeight="1" x14ac:dyDescent="0.35">
      <c r="A8" s="37">
        <f t="shared" si="1"/>
        <v>9</v>
      </c>
      <c r="B8" s="37">
        <f t="shared" si="2"/>
        <v>2018</v>
      </c>
      <c r="C8" s="37" t="str">
        <f t="shared" ref="C8:C171" si="3">IFERROR("Rent: "&amp;FIND("Rent",E8),IFERROR("Priv Tax: "&amp;FIND("Tax",E8), IFERROR("Income: "&amp;FIND("Payment",E8,1),"")))</f>
        <v/>
      </c>
      <c r="D8" s="28">
        <v>43351</v>
      </c>
      <c r="E8" s="70" t="s">
        <v>49</v>
      </c>
      <c r="F8" s="36"/>
      <c r="G8" s="36">
        <v>1350</v>
      </c>
      <c r="H8" s="38">
        <f t="shared" ref="H8:H171" si="4">H7+G8-F8</f>
        <v>1650</v>
      </c>
      <c r="L8" s="71"/>
      <c r="M8" s="36"/>
      <c r="N8" s="36"/>
    </row>
    <row r="9" spans="1:14" ht="12.75" customHeight="1" x14ac:dyDescent="0.35">
      <c r="A9" s="37">
        <f t="shared" si="1"/>
        <v>9</v>
      </c>
      <c r="B9" s="37">
        <f t="shared" si="2"/>
        <v>2018</v>
      </c>
      <c r="C9" s="37" t="str">
        <f t="shared" si="3"/>
        <v>Income: 1</v>
      </c>
      <c r="D9" s="28">
        <v>43351</v>
      </c>
      <c r="E9" s="1" t="s">
        <v>51</v>
      </c>
      <c r="F9" s="36">
        <v>500</v>
      </c>
      <c r="G9" s="36"/>
      <c r="H9" s="38">
        <f t="shared" si="4"/>
        <v>1150</v>
      </c>
      <c r="I9" s="29"/>
      <c r="L9" s="71"/>
      <c r="N9" s="36"/>
    </row>
    <row r="10" spans="1:14" ht="12.75" customHeight="1" x14ac:dyDescent="0.25">
      <c r="A10" s="37">
        <f t="shared" si="1"/>
        <v>9</v>
      </c>
      <c r="B10" s="37">
        <f t="shared" si="2"/>
        <v>2018</v>
      </c>
      <c r="C10" s="37" t="str">
        <f t="shared" si="3"/>
        <v>Rent: 1</v>
      </c>
      <c r="D10" s="28">
        <v>43369</v>
      </c>
      <c r="E10" s="39" t="str">
        <f>"Rent: "&amp;LOOKUP(A10-1, Months, TextMonths)&amp;" '"&amp;B10</f>
        <v>Rent: Sep '2018</v>
      </c>
      <c r="F10" s="36"/>
      <c r="G10" s="36">
        <f>1350/1.018</f>
        <v>1326.1296660117878</v>
      </c>
      <c r="H10" s="38">
        <f t="shared" si="4"/>
        <v>2476.1296660117878</v>
      </c>
      <c r="I10" s="29"/>
      <c r="L10" s="71"/>
      <c r="N10" s="15"/>
    </row>
    <row r="11" spans="1:14" ht="12.75" customHeight="1" x14ac:dyDescent="0.25">
      <c r="A11" s="37">
        <f t="shared" si="1"/>
        <v>9</v>
      </c>
      <c r="B11" s="37">
        <f t="shared" si="2"/>
        <v>2018</v>
      </c>
      <c r="C11" s="37" t="str">
        <f t="shared" si="3"/>
        <v>Priv Tax: 1</v>
      </c>
      <c r="D11" s="26">
        <f>D10</f>
        <v>43369</v>
      </c>
      <c r="E11" s="39" t="str">
        <f>"Tax"</f>
        <v>Tax</v>
      </c>
      <c r="F11" s="36"/>
      <c r="G11" s="36">
        <f>G10*0.018</f>
        <v>23.870333988212177</v>
      </c>
      <c r="H11" s="38">
        <f t="shared" si="4"/>
        <v>2500</v>
      </c>
      <c r="I11" s="29"/>
      <c r="L11" s="71"/>
      <c r="N11" s="15"/>
    </row>
    <row r="12" spans="1:14" ht="12.75" customHeight="1" x14ac:dyDescent="0.35">
      <c r="A12" s="37">
        <f t="shared" si="1"/>
        <v>9</v>
      </c>
      <c r="B12" s="37">
        <f t="shared" si="2"/>
        <v>2018</v>
      </c>
      <c r="C12" s="37" t="str">
        <f t="shared" si="3"/>
        <v>Income: 1</v>
      </c>
      <c r="D12" s="28">
        <v>43360</v>
      </c>
      <c r="E12" s="1" t="s">
        <v>51</v>
      </c>
      <c r="F12" s="36">
        <v>700</v>
      </c>
      <c r="G12" s="36"/>
      <c r="H12" s="38">
        <f t="shared" si="4"/>
        <v>1800</v>
      </c>
      <c r="I12" s="32"/>
      <c r="J12" s="32"/>
      <c r="L12" s="71"/>
      <c r="N12" s="15"/>
    </row>
    <row r="13" spans="1:14" ht="12.75" customHeight="1" x14ac:dyDescent="0.35">
      <c r="A13" s="37">
        <f t="shared" si="1"/>
        <v>9</v>
      </c>
      <c r="B13" s="37">
        <f t="shared" si="2"/>
        <v>2018</v>
      </c>
      <c r="C13" s="37" t="str">
        <f t="shared" si="3"/>
        <v>Income: 1</v>
      </c>
      <c r="D13" s="28">
        <v>43369</v>
      </c>
      <c r="E13" s="1" t="s">
        <v>51</v>
      </c>
      <c r="F13" s="36">
        <v>950</v>
      </c>
      <c r="G13" s="36"/>
      <c r="H13" s="38">
        <f t="shared" si="4"/>
        <v>850</v>
      </c>
      <c r="I13" s="36"/>
      <c r="J13" s="36"/>
      <c r="L13" s="71"/>
      <c r="N13" s="15"/>
    </row>
    <row r="14" spans="1:14" ht="12.75" customHeight="1" x14ac:dyDescent="0.35">
      <c r="A14" s="47">
        <f t="shared" si="1"/>
        <v>10</v>
      </c>
      <c r="B14" s="47">
        <f t="shared" si="2"/>
        <v>2018</v>
      </c>
      <c r="C14" s="47" t="str">
        <f t="shared" si="3"/>
        <v>Income: 1</v>
      </c>
      <c r="D14" s="48">
        <v>43382</v>
      </c>
      <c r="E14" s="76" t="s">
        <v>51</v>
      </c>
      <c r="F14" s="50">
        <v>600</v>
      </c>
      <c r="G14" s="50"/>
      <c r="H14" s="77">
        <f t="shared" si="4"/>
        <v>250</v>
      </c>
      <c r="I14" s="50"/>
      <c r="J14" s="50"/>
      <c r="K14" s="49"/>
      <c r="L14" s="78"/>
      <c r="N14" s="15"/>
    </row>
    <row r="15" spans="1:14" ht="12.75" customHeight="1" x14ac:dyDescent="0.35">
      <c r="A15" s="42">
        <f t="shared" si="1"/>
        <v>10</v>
      </c>
      <c r="B15" s="42">
        <f t="shared" si="2"/>
        <v>2018</v>
      </c>
      <c r="C15" s="42" t="str">
        <f t="shared" si="3"/>
        <v>Income: 1</v>
      </c>
      <c r="D15" s="52">
        <v>43382</v>
      </c>
      <c r="E15" s="89" t="s">
        <v>51</v>
      </c>
      <c r="F15" s="45">
        <v>250</v>
      </c>
      <c r="G15" s="45"/>
      <c r="H15" s="74">
        <f t="shared" si="4"/>
        <v>0</v>
      </c>
      <c r="I15" s="33"/>
      <c r="J15" s="33"/>
      <c r="K15" s="33"/>
      <c r="L15" s="75"/>
      <c r="N15" s="15"/>
    </row>
    <row r="16" spans="1:14" ht="12.75" customHeight="1" x14ac:dyDescent="0.25">
      <c r="A16" s="37">
        <f t="shared" si="1"/>
        <v>10</v>
      </c>
      <c r="B16" s="37">
        <f t="shared" si="2"/>
        <v>2018</v>
      </c>
      <c r="C16" s="37" t="str">
        <f t="shared" si="3"/>
        <v>Rent: 1</v>
      </c>
      <c r="D16" s="40" t="str">
        <f>MONTH(D15) &amp; "/28/" &amp; YEAR(D13)</f>
        <v>10/28/2018</v>
      </c>
      <c r="E16" s="39" t="str">
        <f>"Rent: "&amp;LOOKUP(A16-1, Months, TextMonths)&amp;" '"&amp;B16</f>
        <v>Rent: Oct '2018</v>
      </c>
      <c r="F16" s="36"/>
      <c r="G16" s="36">
        <f>1350/1.018</f>
        <v>1326.1296660117878</v>
      </c>
      <c r="H16" s="38">
        <f t="shared" si="4"/>
        <v>1326.1296660117878</v>
      </c>
      <c r="I16" s="29"/>
      <c r="L16" s="71"/>
      <c r="N16" s="15"/>
    </row>
    <row r="17" spans="1:14" ht="12.75" customHeight="1" x14ac:dyDescent="0.25">
      <c r="A17" s="37">
        <f t="shared" si="1"/>
        <v>10</v>
      </c>
      <c r="B17" s="37">
        <f t="shared" si="2"/>
        <v>2018</v>
      </c>
      <c r="C17" s="37" t="str">
        <f t="shared" si="3"/>
        <v>Priv Tax: 1</v>
      </c>
      <c r="D17" s="26" t="str">
        <f>D16</f>
        <v>10/28/2018</v>
      </c>
      <c r="E17" s="39" t="str">
        <f>"Tax"</f>
        <v>Tax</v>
      </c>
      <c r="F17" s="36"/>
      <c r="G17" s="36">
        <f>G16*0.018</f>
        <v>23.870333988212177</v>
      </c>
      <c r="H17" s="38">
        <f t="shared" si="4"/>
        <v>1350</v>
      </c>
      <c r="I17" s="29"/>
      <c r="L17" s="71"/>
      <c r="N17" s="15"/>
    </row>
    <row r="18" spans="1:14" ht="12.75" customHeight="1" x14ac:dyDescent="0.35">
      <c r="A18" s="37">
        <f t="shared" si="1"/>
        <v>10</v>
      </c>
      <c r="B18" s="37">
        <f t="shared" si="2"/>
        <v>2018</v>
      </c>
      <c r="C18" s="37" t="str">
        <f t="shared" si="3"/>
        <v>Income: 1</v>
      </c>
      <c r="D18" s="28">
        <v>43404</v>
      </c>
      <c r="E18" s="1" t="s">
        <v>51</v>
      </c>
      <c r="F18" s="36">
        <v>1350</v>
      </c>
      <c r="G18" s="36"/>
      <c r="H18" s="38">
        <f t="shared" si="4"/>
        <v>0</v>
      </c>
      <c r="I18" s="32"/>
      <c r="J18" s="32"/>
      <c r="L18" s="71"/>
      <c r="N18" s="15"/>
    </row>
    <row r="19" spans="1:14" ht="12.75" customHeight="1" x14ac:dyDescent="0.25">
      <c r="A19" s="37">
        <f t="shared" si="1"/>
        <v>11</v>
      </c>
      <c r="B19" s="37">
        <f t="shared" si="2"/>
        <v>2018</v>
      </c>
      <c r="C19" s="37" t="str">
        <f t="shared" si="3"/>
        <v>Rent: 1</v>
      </c>
      <c r="D19" s="40" t="str">
        <f>MONTH(D17)+1 &amp; "/28/" &amp; YEAR(D16)</f>
        <v>11/28/2018</v>
      </c>
      <c r="E19" s="39" t="str">
        <f>"Rent: "&amp;LOOKUP(A19-1, Months, TextMonths)&amp;" '"&amp;B19</f>
        <v>Rent: Nov '2018</v>
      </c>
      <c r="F19" s="36"/>
      <c r="G19" s="36">
        <f>1350/1.018</f>
        <v>1326.1296660117878</v>
      </c>
      <c r="H19" s="38">
        <f t="shared" si="4"/>
        <v>1326.1296660117878</v>
      </c>
      <c r="I19" s="36"/>
      <c r="J19" s="36"/>
      <c r="L19" s="71"/>
      <c r="N19" s="15"/>
    </row>
    <row r="20" spans="1:14" ht="12.75" customHeight="1" x14ac:dyDescent="0.25">
      <c r="A20" s="37">
        <f t="shared" si="1"/>
        <v>11</v>
      </c>
      <c r="B20" s="37">
        <f t="shared" si="2"/>
        <v>2018</v>
      </c>
      <c r="C20" s="37" t="str">
        <f t="shared" si="3"/>
        <v>Priv Tax: 1</v>
      </c>
      <c r="D20" s="26" t="str">
        <f>D19</f>
        <v>11/28/2018</v>
      </c>
      <c r="E20" s="39" t="str">
        <f>"Tax"</f>
        <v>Tax</v>
      </c>
      <c r="F20" s="36"/>
      <c r="G20" s="36">
        <f>G19*0.018</f>
        <v>23.870333988212177</v>
      </c>
      <c r="H20" s="38">
        <f t="shared" si="4"/>
        <v>1350</v>
      </c>
      <c r="I20" s="29"/>
      <c r="L20" s="71"/>
      <c r="N20" s="15"/>
    </row>
    <row r="21" spans="1:14" ht="12.75" customHeight="1" x14ac:dyDescent="0.35">
      <c r="A21" s="37">
        <f t="shared" si="1"/>
        <v>12</v>
      </c>
      <c r="B21" s="37">
        <f t="shared" si="2"/>
        <v>2018</v>
      </c>
      <c r="C21" s="37" t="str">
        <f t="shared" si="3"/>
        <v>Income: 1</v>
      </c>
      <c r="D21" s="28">
        <v>43440</v>
      </c>
      <c r="E21" s="1" t="s">
        <v>51</v>
      </c>
      <c r="F21" s="36">
        <v>600</v>
      </c>
      <c r="G21" s="36"/>
      <c r="H21" s="38">
        <f t="shared" si="4"/>
        <v>750</v>
      </c>
      <c r="I21" s="29"/>
      <c r="L21" s="71"/>
      <c r="N21" s="15"/>
    </row>
    <row r="22" spans="1:14" ht="12.75" customHeight="1" x14ac:dyDescent="0.35">
      <c r="A22" s="37">
        <f t="shared" si="1"/>
        <v>12</v>
      </c>
      <c r="B22" s="37">
        <f t="shared" si="2"/>
        <v>2018</v>
      </c>
      <c r="C22" s="37" t="str">
        <f t="shared" si="3"/>
        <v>Income: 1</v>
      </c>
      <c r="D22" s="28">
        <v>43444</v>
      </c>
      <c r="E22" s="1" t="s">
        <v>51</v>
      </c>
      <c r="F22" s="36">
        <v>845</v>
      </c>
      <c r="G22" s="36"/>
      <c r="H22" s="38">
        <f t="shared" si="4"/>
        <v>-95</v>
      </c>
      <c r="I22" s="39"/>
      <c r="J22" s="30"/>
      <c r="L22" s="71"/>
      <c r="N22" s="15"/>
    </row>
    <row r="23" spans="1:14" ht="12.75" customHeight="1" x14ac:dyDescent="0.25">
      <c r="A23" s="37">
        <f t="shared" si="1"/>
        <v>12</v>
      </c>
      <c r="B23" s="37">
        <f t="shared" si="2"/>
        <v>2018</v>
      </c>
      <c r="C23" s="37" t="str">
        <f t="shared" si="3"/>
        <v/>
      </c>
      <c r="D23" s="86">
        <v>43442</v>
      </c>
      <c r="E23" s="30" t="s">
        <v>52</v>
      </c>
      <c r="F23" s="36"/>
      <c r="G23" s="36">
        <v>95</v>
      </c>
      <c r="H23" s="38">
        <f t="shared" si="4"/>
        <v>0</v>
      </c>
      <c r="I23" s="15"/>
      <c r="J23" s="15"/>
      <c r="K23" s="30"/>
      <c r="L23" s="71"/>
    </row>
    <row r="24" spans="1:14" ht="12.75" customHeight="1" x14ac:dyDescent="0.25">
      <c r="A24" s="37">
        <f t="shared" si="1"/>
        <v>12</v>
      </c>
      <c r="B24" s="37">
        <f t="shared" si="2"/>
        <v>2018</v>
      </c>
      <c r="C24" s="37" t="str">
        <f t="shared" si="3"/>
        <v>Rent: 1</v>
      </c>
      <c r="D24" s="40" t="str">
        <f>MONTH(D23) &amp; "/28/" &amp; YEAR(D21)</f>
        <v>12/28/2018</v>
      </c>
      <c r="E24" s="39" t="str">
        <f>"Rent: "&amp;LOOKUP(A24-1, Months, TextMonths)&amp;" '"&amp;B24</f>
        <v>Rent: Dec '2018</v>
      </c>
      <c r="F24" s="36"/>
      <c r="G24" s="36">
        <f>1350/1.018</f>
        <v>1326.1296660117878</v>
      </c>
      <c r="H24" s="38">
        <f t="shared" si="4"/>
        <v>1326.1296660117878</v>
      </c>
      <c r="I24" s="30"/>
      <c r="J24" s="36"/>
      <c r="L24" s="71"/>
    </row>
    <row r="25" spans="1:14" ht="12.75" customHeight="1" x14ac:dyDescent="0.25">
      <c r="A25" s="47">
        <f t="shared" si="1"/>
        <v>12</v>
      </c>
      <c r="B25" s="47">
        <f t="shared" si="2"/>
        <v>2018</v>
      </c>
      <c r="C25" s="47" t="str">
        <f t="shared" si="3"/>
        <v>Priv Tax: 1</v>
      </c>
      <c r="D25" s="90" t="str">
        <f>D24</f>
        <v>12/28/2018</v>
      </c>
      <c r="E25" s="91" t="str">
        <f>"Tax"</f>
        <v>Tax</v>
      </c>
      <c r="F25" s="50"/>
      <c r="G25" s="50">
        <f>G24*0.018</f>
        <v>23.870333988212177</v>
      </c>
      <c r="H25" s="77">
        <f t="shared" si="4"/>
        <v>1350</v>
      </c>
      <c r="I25" s="49"/>
      <c r="J25" s="49"/>
      <c r="K25" s="49"/>
      <c r="L25" s="78"/>
    </row>
    <row r="26" spans="1:14" ht="12.75" customHeight="1" x14ac:dyDescent="0.35">
      <c r="A26" s="42">
        <f t="shared" si="1"/>
        <v>1</v>
      </c>
      <c r="B26" s="42">
        <f t="shared" si="2"/>
        <v>2019</v>
      </c>
      <c r="C26" s="42" t="str">
        <f t="shared" si="3"/>
        <v>Income: 1</v>
      </c>
      <c r="D26" s="52">
        <v>43469</v>
      </c>
      <c r="E26" s="89" t="s">
        <v>51</v>
      </c>
      <c r="F26" s="45">
        <v>1415</v>
      </c>
      <c r="G26" s="45"/>
      <c r="H26" s="74">
        <f t="shared" si="4"/>
        <v>-65</v>
      </c>
      <c r="I26" s="33"/>
      <c r="J26" s="33"/>
      <c r="K26" s="33"/>
      <c r="L26" s="75"/>
      <c r="N26" s="15"/>
    </row>
    <row r="27" spans="1:14" ht="12.75" customHeight="1" x14ac:dyDescent="0.25">
      <c r="A27" s="37">
        <f t="shared" si="1"/>
        <v>1</v>
      </c>
      <c r="B27" s="37">
        <f t="shared" si="2"/>
        <v>2019</v>
      </c>
      <c r="C27" s="37" t="str">
        <f t="shared" si="3"/>
        <v/>
      </c>
      <c r="D27" s="86">
        <v>43469</v>
      </c>
      <c r="E27" s="29" t="s">
        <v>52</v>
      </c>
      <c r="F27" s="36"/>
      <c r="G27" s="36">
        <f>35+10*_xlfn.SINGLE(_xlfn.DAYS(D27, "1/1/19"))</f>
        <v>65</v>
      </c>
      <c r="H27" s="38">
        <f t="shared" si="4"/>
        <v>0</v>
      </c>
      <c r="I27" s="29"/>
      <c r="J27" s="29"/>
      <c r="K27" s="29"/>
      <c r="L27" s="71"/>
    </row>
    <row r="28" spans="1:14" ht="12.75" customHeight="1" x14ac:dyDescent="0.25">
      <c r="A28" s="37">
        <f t="shared" si="1"/>
        <v>1</v>
      </c>
      <c r="B28" s="37">
        <f t="shared" si="2"/>
        <v>2019</v>
      </c>
      <c r="C28" s="37" t="str">
        <f t="shared" si="3"/>
        <v>Rent: 1</v>
      </c>
      <c r="D28" s="40" t="str">
        <f>MONTH(D27) &amp; "/28/" &amp; YEAR(D26)</f>
        <v>1/28/2019</v>
      </c>
      <c r="E28" s="39" t="str">
        <f>"Rent: "&amp;LOOKUP(A28-1, Months, TextMonths)&amp;" '"&amp;B28</f>
        <v>Rent: Jan '2019</v>
      </c>
      <c r="F28" s="36"/>
      <c r="G28" s="84">
        <f>1350/1.018</f>
        <v>1326.1296660117878</v>
      </c>
      <c r="H28" s="38">
        <f t="shared" si="4"/>
        <v>1326.1296660117878</v>
      </c>
      <c r="I28" s="29"/>
      <c r="J28" s="29"/>
      <c r="K28" s="29"/>
      <c r="L28" s="71"/>
    </row>
    <row r="29" spans="1:14" ht="12.75" customHeight="1" x14ac:dyDescent="0.25">
      <c r="A29" s="37">
        <f t="shared" si="1"/>
        <v>1</v>
      </c>
      <c r="B29" s="37">
        <f t="shared" si="2"/>
        <v>2019</v>
      </c>
      <c r="C29" s="37" t="str">
        <f t="shared" si="3"/>
        <v>Priv Tax: 1</v>
      </c>
      <c r="D29" s="26" t="str">
        <f>D28</f>
        <v>1/28/2019</v>
      </c>
      <c r="E29" s="39" t="str">
        <f>"Tax"</f>
        <v>Tax</v>
      </c>
      <c r="F29" s="36"/>
      <c r="G29" s="84">
        <f>G28*0.018</f>
        <v>23.870333988212177</v>
      </c>
      <c r="H29" s="38">
        <f t="shared" si="4"/>
        <v>1350</v>
      </c>
      <c r="I29" s="29"/>
      <c r="J29" s="29"/>
      <c r="K29" s="29"/>
      <c r="L29" s="71"/>
    </row>
    <row r="30" spans="1:14" ht="12.75" customHeight="1" x14ac:dyDescent="0.35">
      <c r="A30" s="37">
        <f t="shared" si="1"/>
        <v>2</v>
      </c>
      <c r="B30" s="37">
        <f t="shared" si="2"/>
        <v>2019</v>
      </c>
      <c r="C30" s="37" t="str">
        <f t="shared" si="3"/>
        <v>Income: 1</v>
      </c>
      <c r="D30" s="28">
        <v>43503</v>
      </c>
      <c r="E30" s="1" t="s">
        <v>51</v>
      </c>
      <c r="F30" s="36">
        <v>900</v>
      </c>
      <c r="G30" s="36"/>
      <c r="H30" s="38">
        <f t="shared" si="4"/>
        <v>450</v>
      </c>
      <c r="I30" s="29"/>
      <c r="J30" s="29"/>
      <c r="K30" s="29"/>
      <c r="L30" s="71"/>
    </row>
    <row r="31" spans="1:14" ht="12.75" customHeight="1" x14ac:dyDescent="0.35">
      <c r="A31" s="37">
        <f t="shared" si="1"/>
        <v>2</v>
      </c>
      <c r="B31" s="37">
        <f t="shared" si="2"/>
        <v>2019</v>
      </c>
      <c r="C31" s="37" t="str">
        <f t="shared" si="3"/>
        <v>Income: 1</v>
      </c>
      <c r="D31" s="28">
        <v>43509</v>
      </c>
      <c r="E31" s="1" t="s">
        <v>51</v>
      </c>
      <c r="F31" s="36">
        <v>605</v>
      </c>
      <c r="G31" s="36"/>
      <c r="H31" s="38">
        <f t="shared" si="4"/>
        <v>-155</v>
      </c>
      <c r="I31" s="29"/>
      <c r="J31" s="29"/>
      <c r="K31" s="29"/>
      <c r="L31" s="71"/>
    </row>
    <row r="32" spans="1:14" ht="12.75" customHeight="1" x14ac:dyDescent="0.25">
      <c r="A32" s="37">
        <f t="shared" si="1"/>
        <v>2</v>
      </c>
      <c r="B32" s="37">
        <f t="shared" si="2"/>
        <v>2019</v>
      </c>
      <c r="C32" s="37" t="str">
        <f t="shared" si="3"/>
        <v/>
      </c>
      <c r="D32" s="86">
        <v>43509</v>
      </c>
      <c r="E32" s="29" t="s">
        <v>52</v>
      </c>
      <c r="F32" s="36"/>
      <c r="G32" s="36">
        <v>155</v>
      </c>
      <c r="H32" s="38">
        <f t="shared" si="4"/>
        <v>0</v>
      </c>
      <c r="I32" s="29"/>
      <c r="J32" s="29"/>
      <c r="K32" s="29"/>
      <c r="L32" s="71"/>
    </row>
    <row r="33" spans="1:12" ht="12.75" customHeight="1" x14ac:dyDescent="0.25">
      <c r="A33" s="37">
        <f t="shared" si="1"/>
        <v>2</v>
      </c>
      <c r="B33" s="37">
        <f t="shared" si="2"/>
        <v>2019</v>
      </c>
      <c r="C33" s="37" t="str">
        <f t="shared" si="3"/>
        <v>Rent: 1</v>
      </c>
      <c r="D33" s="40" t="str">
        <f>MONTH(D32) &amp; "/28/" &amp; YEAR(D31)</f>
        <v>2/28/2019</v>
      </c>
      <c r="E33" s="39" t="str">
        <f>"Rent: "&amp;LOOKUP(A33-1, Months, TextMonths)&amp;" '"&amp;B33</f>
        <v>Rent: Feb '2019</v>
      </c>
      <c r="F33" s="36"/>
      <c r="G33" s="84">
        <f>1350/1.018</f>
        <v>1326.1296660117878</v>
      </c>
      <c r="H33" s="38">
        <f t="shared" si="4"/>
        <v>1326.1296660117878</v>
      </c>
      <c r="I33" s="29"/>
      <c r="J33" s="29"/>
      <c r="K33" s="29"/>
      <c r="L33" s="71"/>
    </row>
    <row r="34" spans="1:12" ht="12.75" customHeight="1" x14ac:dyDescent="0.25">
      <c r="A34" s="37">
        <f t="shared" si="1"/>
        <v>2</v>
      </c>
      <c r="B34" s="37">
        <f t="shared" si="2"/>
        <v>2019</v>
      </c>
      <c r="C34" s="37" t="str">
        <f t="shared" si="3"/>
        <v>Priv Tax: 1</v>
      </c>
      <c r="D34" s="26" t="str">
        <f>D33</f>
        <v>2/28/2019</v>
      </c>
      <c r="E34" s="39" t="str">
        <f>"Tax"</f>
        <v>Tax</v>
      </c>
      <c r="F34" s="36"/>
      <c r="G34" s="84">
        <f>G33*0.018</f>
        <v>23.870333988212177</v>
      </c>
      <c r="H34" s="38">
        <f t="shared" si="4"/>
        <v>1350</v>
      </c>
      <c r="I34" s="29"/>
      <c r="J34" s="29"/>
      <c r="K34" s="29"/>
      <c r="L34" s="71"/>
    </row>
    <row r="35" spans="1:12" ht="12.75" customHeight="1" x14ac:dyDescent="0.35">
      <c r="A35" s="37">
        <f t="shared" si="1"/>
        <v>3</v>
      </c>
      <c r="B35" s="37">
        <f t="shared" si="2"/>
        <v>2019</v>
      </c>
      <c r="C35" s="37" t="str">
        <f t="shared" si="3"/>
        <v>Income: 1</v>
      </c>
      <c r="D35" s="28">
        <v>43531</v>
      </c>
      <c r="E35" s="1" t="s">
        <v>51</v>
      </c>
      <c r="F35" s="36">
        <v>600</v>
      </c>
      <c r="G35" s="36"/>
      <c r="H35" s="38">
        <f t="shared" si="4"/>
        <v>750</v>
      </c>
      <c r="I35" s="32"/>
      <c r="J35" s="32"/>
      <c r="K35" s="29"/>
      <c r="L35" s="71"/>
    </row>
    <row r="36" spans="1:12" ht="12.75" customHeight="1" x14ac:dyDescent="0.35">
      <c r="A36" s="37">
        <f t="shared" si="1"/>
        <v>3</v>
      </c>
      <c r="B36" s="37">
        <f t="shared" si="2"/>
        <v>2019</v>
      </c>
      <c r="C36" s="37" t="str">
        <f t="shared" si="3"/>
        <v>Income: 1</v>
      </c>
      <c r="D36" s="28">
        <v>43538</v>
      </c>
      <c r="E36" s="1" t="s">
        <v>51</v>
      </c>
      <c r="F36" s="36">
        <v>875</v>
      </c>
      <c r="G36" s="36"/>
      <c r="H36" s="38">
        <f t="shared" si="4"/>
        <v>-125</v>
      </c>
      <c r="I36" s="36"/>
      <c r="J36" s="36"/>
      <c r="K36" s="29"/>
      <c r="L36" s="71"/>
    </row>
    <row r="37" spans="1:12" ht="12.75" customHeight="1" x14ac:dyDescent="0.25">
      <c r="A37" s="37">
        <f t="shared" si="1"/>
        <v>3</v>
      </c>
      <c r="B37" s="37">
        <f t="shared" si="2"/>
        <v>2019</v>
      </c>
      <c r="C37" s="37" t="str">
        <f t="shared" si="3"/>
        <v/>
      </c>
      <c r="D37" s="86">
        <v>43528</v>
      </c>
      <c r="E37" s="29" t="s">
        <v>52</v>
      </c>
      <c r="F37" s="36"/>
      <c r="G37" s="36">
        <v>125</v>
      </c>
      <c r="H37" s="38">
        <f t="shared" si="4"/>
        <v>0</v>
      </c>
      <c r="I37" s="29"/>
      <c r="J37" s="29"/>
      <c r="K37" s="29"/>
      <c r="L37" s="71"/>
    </row>
    <row r="38" spans="1:12" ht="12.75" customHeight="1" x14ac:dyDescent="0.25">
      <c r="A38" s="80">
        <f t="shared" si="1"/>
        <v>3</v>
      </c>
      <c r="B38" s="42">
        <f t="shared" si="2"/>
        <v>2019</v>
      </c>
      <c r="C38" s="42" t="str">
        <f t="shared" si="3"/>
        <v>Rent: 1</v>
      </c>
      <c r="D38" s="43" t="str">
        <f>MONTH(D37) &amp; "/28/" &amp; YEAR(D36)</f>
        <v>3/28/2019</v>
      </c>
      <c r="E38" s="44" t="str">
        <f>"Rent: "&amp;LOOKUP(A38-1, Months, TextMonths)&amp;" '"&amp;B38</f>
        <v>Rent: Mar '2019</v>
      </c>
      <c r="F38" s="45"/>
      <c r="G38" s="83">
        <f>1350/1.018</f>
        <v>1326.1296660117878</v>
      </c>
      <c r="H38" s="74">
        <f t="shared" si="4"/>
        <v>1326.1296660117878</v>
      </c>
      <c r="I38" s="33"/>
      <c r="J38" s="33"/>
      <c r="K38" s="33"/>
      <c r="L38" s="75"/>
    </row>
    <row r="39" spans="1:12" ht="12.75" customHeight="1" x14ac:dyDescent="0.25">
      <c r="A39" s="81">
        <f t="shared" si="1"/>
        <v>3</v>
      </c>
      <c r="B39" s="37">
        <f t="shared" si="2"/>
        <v>2019</v>
      </c>
      <c r="C39" s="37" t="str">
        <f t="shared" si="3"/>
        <v>Priv Tax: 1</v>
      </c>
      <c r="D39" s="26" t="str">
        <f>D38</f>
        <v>3/28/2019</v>
      </c>
      <c r="E39" s="39" t="str">
        <f>"Tax"</f>
        <v>Tax</v>
      </c>
      <c r="F39" s="36"/>
      <c r="G39" s="84">
        <f>G38*0.018</f>
        <v>23.870333988212177</v>
      </c>
      <c r="H39" s="38">
        <f t="shared" si="4"/>
        <v>1350</v>
      </c>
      <c r="I39" s="29"/>
      <c r="J39" s="29"/>
      <c r="K39" s="29"/>
      <c r="L39" s="71"/>
    </row>
    <row r="40" spans="1:12" ht="12.75" customHeight="1" x14ac:dyDescent="0.35">
      <c r="A40" s="81">
        <f t="shared" si="1"/>
        <v>4</v>
      </c>
      <c r="B40" s="37">
        <f t="shared" si="2"/>
        <v>2019</v>
      </c>
      <c r="C40" s="37" t="str">
        <f t="shared" si="3"/>
        <v>Income: 1</v>
      </c>
      <c r="D40" s="28">
        <v>43556</v>
      </c>
      <c r="E40" s="1" t="s">
        <v>51</v>
      </c>
      <c r="F40" s="36">
        <v>700</v>
      </c>
      <c r="G40" s="36"/>
      <c r="H40" s="38">
        <f t="shared" si="4"/>
        <v>650</v>
      </c>
      <c r="I40" s="29"/>
      <c r="J40" s="29"/>
      <c r="K40" s="29"/>
      <c r="L40" s="71"/>
    </row>
    <row r="41" spans="1:12" ht="12.75" customHeight="1" x14ac:dyDescent="0.35">
      <c r="A41" s="81">
        <f t="shared" si="1"/>
        <v>4</v>
      </c>
      <c r="B41" s="37">
        <f t="shared" si="2"/>
        <v>2019</v>
      </c>
      <c r="C41" s="37" t="str">
        <f t="shared" si="3"/>
        <v>Income: 1</v>
      </c>
      <c r="D41" s="28">
        <v>43570</v>
      </c>
      <c r="E41" s="1" t="s">
        <v>51</v>
      </c>
      <c r="F41" s="36">
        <v>805</v>
      </c>
      <c r="G41" s="36"/>
      <c r="H41" s="38">
        <f t="shared" si="4"/>
        <v>-155</v>
      </c>
      <c r="I41" s="29"/>
      <c r="J41" s="29"/>
      <c r="K41" s="29"/>
      <c r="L41" s="71"/>
    </row>
    <row r="42" spans="1:12" ht="12.75" customHeight="1" x14ac:dyDescent="0.25">
      <c r="A42" s="81">
        <f t="shared" si="1"/>
        <v>4</v>
      </c>
      <c r="B42" s="37">
        <f t="shared" si="2"/>
        <v>2019</v>
      </c>
      <c r="C42" s="37" t="str">
        <f t="shared" si="3"/>
        <v/>
      </c>
      <c r="D42" s="86">
        <v>43559</v>
      </c>
      <c r="E42" s="29" t="s">
        <v>52</v>
      </c>
      <c r="F42" s="36"/>
      <c r="G42" s="36">
        <v>155</v>
      </c>
      <c r="H42" s="38">
        <f t="shared" si="4"/>
        <v>0</v>
      </c>
      <c r="I42" s="29"/>
      <c r="J42" s="29"/>
      <c r="K42" s="29"/>
      <c r="L42" s="71"/>
    </row>
    <row r="43" spans="1:12" ht="12.75" customHeight="1" x14ac:dyDescent="0.25">
      <c r="A43" s="81">
        <f t="shared" si="1"/>
        <v>4</v>
      </c>
      <c r="B43" s="37">
        <f t="shared" si="2"/>
        <v>2019</v>
      </c>
      <c r="C43" s="37" t="str">
        <f t="shared" si="3"/>
        <v>Rent: 1</v>
      </c>
      <c r="D43" s="40" t="str">
        <f>MONTH(D41) &amp; "/28/" &amp; YEAR(D41)</f>
        <v>4/28/2019</v>
      </c>
      <c r="E43" s="39" t="str">
        <f>"Rent: "&amp;LOOKUP(A43-1, Months, TextMonths)&amp;" '"&amp;B43</f>
        <v>Rent: Apr '2019</v>
      </c>
      <c r="F43" s="36"/>
      <c r="G43" s="84">
        <f>1350/1.018</f>
        <v>1326.1296660117878</v>
      </c>
      <c r="H43" s="38">
        <f t="shared" si="4"/>
        <v>1326.1296660117878</v>
      </c>
      <c r="I43" s="29"/>
      <c r="J43" s="29"/>
      <c r="K43" s="29"/>
      <c r="L43" s="71"/>
    </row>
    <row r="44" spans="1:12" ht="12.75" customHeight="1" x14ac:dyDescent="0.25">
      <c r="A44" s="81">
        <f t="shared" si="1"/>
        <v>4</v>
      </c>
      <c r="B44" s="37">
        <f t="shared" si="2"/>
        <v>2019</v>
      </c>
      <c r="C44" s="37" t="str">
        <f t="shared" si="3"/>
        <v>Priv Tax: 1</v>
      </c>
      <c r="D44" s="26" t="str">
        <f>D43</f>
        <v>4/28/2019</v>
      </c>
      <c r="E44" s="39" t="str">
        <f>"Tax"</f>
        <v>Tax</v>
      </c>
      <c r="F44" s="36"/>
      <c r="G44" s="84">
        <f>G43*0.018</f>
        <v>23.870333988212177</v>
      </c>
      <c r="H44" s="38">
        <f t="shared" si="4"/>
        <v>1350</v>
      </c>
      <c r="I44" s="29"/>
      <c r="J44" s="29"/>
      <c r="K44" s="29"/>
      <c r="L44" s="71"/>
    </row>
    <row r="45" spans="1:12" ht="12.75" customHeight="1" x14ac:dyDescent="0.35">
      <c r="A45" s="81">
        <f t="shared" si="1"/>
        <v>5</v>
      </c>
      <c r="B45" s="37">
        <f t="shared" si="2"/>
        <v>2019</v>
      </c>
      <c r="C45" s="37" t="str">
        <f t="shared" si="3"/>
        <v>Income: 1</v>
      </c>
      <c r="D45" s="28">
        <v>43598</v>
      </c>
      <c r="E45" s="1" t="s">
        <v>51</v>
      </c>
      <c r="F45" s="36">
        <v>1200</v>
      </c>
      <c r="G45" s="36"/>
      <c r="H45" s="38">
        <f t="shared" si="4"/>
        <v>150</v>
      </c>
      <c r="I45" s="29"/>
      <c r="J45" s="29"/>
      <c r="K45" s="29"/>
      <c r="L45" s="71"/>
    </row>
    <row r="46" spans="1:12" ht="12.75" customHeight="1" x14ac:dyDescent="0.35">
      <c r="A46" s="81">
        <f t="shared" si="1"/>
        <v>5</v>
      </c>
      <c r="B46" s="37">
        <f t="shared" si="2"/>
        <v>2019</v>
      </c>
      <c r="C46" s="37" t="str">
        <f t="shared" si="3"/>
        <v>Income: 1</v>
      </c>
      <c r="D46" s="28">
        <v>43601</v>
      </c>
      <c r="E46" s="1" t="s">
        <v>51</v>
      </c>
      <c r="F46" s="36">
        <v>335</v>
      </c>
      <c r="G46" s="36"/>
      <c r="H46" s="38">
        <f t="shared" si="4"/>
        <v>-185</v>
      </c>
      <c r="I46" s="29"/>
      <c r="J46" s="29"/>
      <c r="K46" s="29"/>
      <c r="L46" s="71"/>
    </row>
    <row r="47" spans="1:12" ht="12.75" customHeight="1" x14ac:dyDescent="0.25">
      <c r="A47" s="81">
        <f t="shared" si="1"/>
        <v>5</v>
      </c>
      <c r="B47" s="37">
        <f t="shared" si="2"/>
        <v>2019</v>
      </c>
      <c r="C47" s="37" t="str">
        <f t="shared" si="3"/>
        <v/>
      </c>
      <c r="D47" s="86">
        <v>43589</v>
      </c>
      <c r="E47" s="29" t="s">
        <v>52</v>
      </c>
      <c r="F47" s="36"/>
      <c r="G47" s="36">
        <v>185</v>
      </c>
      <c r="H47" s="38">
        <f t="shared" si="4"/>
        <v>0</v>
      </c>
      <c r="I47" s="32"/>
      <c r="J47" s="32"/>
      <c r="K47" s="29"/>
      <c r="L47" s="71"/>
    </row>
    <row r="48" spans="1:12" ht="12.75" customHeight="1" x14ac:dyDescent="0.25">
      <c r="A48" s="81">
        <f t="shared" si="1"/>
        <v>5</v>
      </c>
      <c r="B48" s="37">
        <f t="shared" si="2"/>
        <v>2019</v>
      </c>
      <c r="C48" s="37" t="str">
        <f t="shared" si="3"/>
        <v>Rent: 1</v>
      </c>
      <c r="D48" s="40" t="str">
        <f>MONTH(D46) &amp; "/28/" &amp; YEAR(D46)</f>
        <v>5/28/2019</v>
      </c>
      <c r="E48" s="39" t="str">
        <f>"Rent: "&amp;LOOKUP(A48-1, Months, TextMonths)&amp;" '"&amp;B48</f>
        <v>Rent: May '2019</v>
      </c>
      <c r="F48" s="36"/>
      <c r="G48" s="84">
        <f>1350/1.018</f>
        <v>1326.1296660117878</v>
      </c>
      <c r="H48" s="38">
        <f t="shared" si="4"/>
        <v>1326.1296660117878</v>
      </c>
      <c r="I48" s="36"/>
      <c r="J48" s="36"/>
      <c r="K48" s="29"/>
      <c r="L48" s="71"/>
    </row>
    <row r="49" spans="1:12" ht="12.75" customHeight="1" x14ac:dyDescent="0.25">
      <c r="A49" s="81">
        <f t="shared" si="1"/>
        <v>5</v>
      </c>
      <c r="B49" s="37">
        <f t="shared" si="2"/>
        <v>2019</v>
      </c>
      <c r="C49" s="37" t="str">
        <f t="shared" si="3"/>
        <v>Priv Tax: 1</v>
      </c>
      <c r="D49" s="26" t="str">
        <f>D48</f>
        <v>5/28/2019</v>
      </c>
      <c r="E49" s="39" t="str">
        <f>"Tax"</f>
        <v>Tax</v>
      </c>
      <c r="F49" s="36"/>
      <c r="G49" s="84">
        <f>G48*0.018</f>
        <v>23.870333988212177</v>
      </c>
      <c r="H49" s="38">
        <f t="shared" si="4"/>
        <v>1350</v>
      </c>
      <c r="I49" s="29"/>
      <c r="J49" s="29"/>
      <c r="K49" s="29"/>
      <c r="L49" s="71"/>
    </row>
    <row r="50" spans="1:12" ht="12.75" customHeight="1" x14ac:dyDescent="0.35">
      <c r="A50" s="81">
        <f t="shared" si="1"/>
        <v>6</v>
      </c>
      <c r="B50" s="37">
        <f t="shared" si="2"/>
        <v>2019</v>
      </c>
      <c r="C50" s="37" t="str">
        <f t="shared" si="3"/>
        <v>Income: 1</v>
      </c>
      <c r="D50" s="28">
        <v>43619</v>
      </c>
      <c r="E50" s="1" t="s">
        <v>51</v>
      </c>
      <c r="F50" s="36">
        <v>450</v>
      </c>
      <c r="G50" s="36"/>
      <c r="H50" s="38">
        <f t="shared" si="4"/>
        <v>900</v>
      </c>
      <c r="I50" s="29"/>
      <c r="J50" s="29"/>
      <c r="K50" s="29"/>
      <c r="L50" s="71"/>
    </row>
    <row r="51" spans="1:12" ht="12.75" customHeight="1" x14ac:dyDescent="0.35">
      <c r="A51" s="81">
        <f t="shared" si="1"/>
        <v>6</v>
      </c>
      <c r="B51" s="37">
        <f t="shared" si="2"/>
        <v>2019</v>
      </c>
      <c r="C51" s="37" t="str">
        <f t="shared" si="3"/>
        <v>Income: 1</v>
      </c>
      <c r="D51" s="28">
        <v>43623</v>
      </c>
      <c r="E51" s="1" t="s">
        <v>51</v>
      </c>
      <c r="F51" s="36">
        <v>400</v>
      </c>
      <c r="G51" s="36"/>
      <c r="H51" s="38">
        <f t="shared" si="4"/>
        <v>500</v>
      </c>
      <c r="I51" s="29"/>
      <c r="J51" s="29"/>
      <c r="K51" s="29"/>
      <c r="L51" s="71"/>
    </row>
    <row r="52" spans="1:12" ht="12.75" customHeight="1" x14ac:dyDescent="0.35">
      <c r="A52" s="81">
        <f t="shared" si="1"/>
        <v>6</v>
      </c>
      <c r="B52" s="37">
        <f t="shared" si="2"/>
        <v>2019</v>
      </c>
      <c r="C52" s="37" t="str">
        <f t="shared" si="3"/>
        <v>Income: 1</v>
      </c>
      <c r="D52" s="28">
        <v>43627</v>
      </c>
      <c r="E52" s="1" t="s">
        <v>51</v>
      </c>
      <c r="F52" s="36">
        <v>635</v>
      </c>
      <c r="G52" s="36"/>
      <c r="H52" s="38">
        <f t="shared" si="4"/>
        <v>-135</v>
      </c>
      <c r="I52" s="29"/>
      <c r="J52" s="29"/>
      <c r="K52" s="29"/>
      <c r="L52" s="71"/>
    </row>
    <row r="53" spans="1:12" ht="12.75" customHeight="1" x14ac:dyDescent="0.25">
      <c r="A53" s="82">
        <f t="shared" si="1"/>
        <v>6</v>
      </c>
      <c r="B53" s="47">
        <f t="shared" si="2"/>
        <v>2019</v>
      </c>
      <c r="C53" s="47" t="str">
        <f t="shared" si="3"/>
        <v/>
      </c>
      <c r="D53" s="92">
        <v>43627</v>
      </c>
      <c r="E53" s="49" t="s">
        <v>52</v>
      </c>
      <c r="F53" s="50"/>
      <c r="G53" s="50">
        <v>135</v>
      </c>
      <c r="H53" s="77">
        <f t="shared" si="4"/>
        <v>0</v>
      </c>
      <c r="I53" s="49"/>
      <c r="J53" s="49"/>
      <c r="K53" s="49"/>
      <c r="L53" s="78"/>
    </row>
    <row r="54" spans="1:12" ht="12.75" customHeight="1" x14ac:dyDescent="0.25">
      <c r="A54" s="80">
        <f t="shared" si="1"/>
        <v>7</v>
      </c>
      <c r="B54" s="42">
        <f t="shared" si="2"/>
        <v>2019</v>
      </c>
      <c r="C54" s="42" t="str">
        <f t="shared" si="3"/>
        <v>Rent: 1</v>
      </c>
      <c r="D54" s="43" t="str">
        <f>MONTH(D52)+1 &amp; "/28/" &amp; YEAR(D52)</f>
        <v>7/28/2019</v>
      </c>
      <c r="E54" s="44" t="str">
        <f>"Rent: "&amp;LOOKUP(A54-1, Months, TextMonths)&amp;" '"&amp;B54</f>
        <v>Rent: Jul '2019</v>
      </c>
      <c r="F54" s="45"/>
      <c r="G54" s="83">
        <f>1350/1.018</f>
        <v>1326.1296660117878</v>
      </c>
      <c r="H54" s="74">
        <f t="shared" si="4"/>
        <v>1326.1296660117878</v>
      </c>
      <c r="I54" s="33"/>
      <c r="J54" s="33"/>
      <c r="K54" s="33"/>
      <c r="L54" s="75"/>
    </row>
    <row r="55" spans="1:12" ht="12.75" customHeight="1" x14ac:dyDescent="0.25">
      <c r="A55" s="81">
        <f t="shared" si="1"/>
        <v>7</v>
      </c>
      <c r="B55" s="37">
        <f t="shared" si="2"/>
        <v>2019</v>
      </c>
      <c r="C55" s="37" t="str">
        <f t="shared" si="3"/>
        <v>Priv Tax: 1</v>
      </c>
      <c r="D55" s="26" t="str">
        <f>D54</f>
        <v>7/28/2019</v>
      </c>
      <c r="E55" s="39" t="str">
        <f>"Tax"</f>
        <v>Tax</v>
      </c>
      <c r="F55" s="36"/>
      <c r="G55" s="84">
        <f>G54*0.018</f>
        <v>23.870333988212177</v>
      </c>
      <c r="H55" s="38">
        <f t="shared" si="4"/>
        <v>1350</v>
      </c>
      <c r="I55" s="29"/>
      <c r="J55" s="29"/>
      <c r="K55" s="29"/>
      <c r="L55" s="71"/>
    </row>
    <row r="56" spans="1:12" ht="12.75" customHeight="1" x14ac:dyDescent="0.35">
      <c r="A56" s="81">
        <f t="shared" si="1"/>
        <v>7</v>
      </c>
      <c r="B56" s="37">
        <f t="shared" si="2"/>
        <v>2019</v>
      </c>
      <c r="C56" s="37" t="str">
        <f t="shared" si="3"/>
        <v>Income: 1</v>
      </c>
      <c r="D56" s="28">
        <v>43655</v>
      </c>
      <c r="E56" s="1" t="s">
        <v>51</v>
      </c>
      <c r="F56" s="36">
        <v>800</v>
      </c>
      <c r="G56" s="36"/>
      <c r="H56" s="38">
        <f t="shared" si="4"/>
        <v>550</v>
      </c>
      <c r="I56" s="29"/>
      <c r="J56" s="29"/>
      <c r="K56" s="29"/>
      <c r="L56" s="71"/>
    </row>
    <row r="57" spans="1:12" ht="12.75" customHeight="1" x14ac:dyDescent="0.35">
      <c r="A57" s="81">
        <f t="shared" si="1"/>
        <v>7</v>
      </c>
      <c r="B57" s="37">
        <f t="shared" si="2"/>
        <v>2019</v>
      </c>
      <c r="C57" s="37" t="str">
        <f t="shared" si="3"/>
        <v>Income: 1</v>
      </c>
      <c r="D57" s="28">
        <v>43661</v>
      </c>
      <c r="E57" s="1" t="s">
        <v>51</v>
      </c>
      <c r="F57" s="36">
        <v>695</v>
      </c>
      <c r="G57" s="36"/>
      <c r="H57" s="38">
        <f t="shared" si="4"/>
        <v>-145</v>
      </c>
      <c r="I57" s="29"/>
      <c r="J57" s="29"/>
      <c r="K57" s="29"/>
      <c r="L57" s="71"/>
    </row>
    <row r="58" spans="1:12" ht="12.75" customHeight="1" x14ac:dyDescent="0.25">
      <c r="A58" s="81">
        <f t="shared" si="1"/>
        <v>7</v>
      </c>
      <c r="B58" s="37">
        <f t="shared" si="2"/>
        <v>2019</v>
      </c>
      <c r="C58" s="37" t="str">
        <f t="shared" si="3"/>
        <v/>
      </c>
      <c r="D58" s="86">
        <v>43661</v>
      </c>
      <c r="E58" s="29" t="s">
        <v>52</v>
      </c>
      <c r="F58" s="36"/>
      <c r="G58" s="36">
        <v>145</v>
      </c>
      <c r="H58" s="38">
        <f t="shared" si="4"/>
        <v>0</v>
      </c>
      <c r="I58" s="29"/>
      <c r="J58" s="29"/>
      <c r="K58" s="29"/>
      <c r="L58" s="71"/>
    </row>
    <row r="59" spans="1:12" ht="12.75" customHeight="1" x14ac:dyDescent="0.25">
      <c r="A59" s="81">
        <f t="shared" si="1"/>
        <v>8</v>
      </c>
      <c r="B59" s="37">
        <f t="shared" si="2"/>
        <v>2019</v>
      </c>
      <c r="C59" s="37" t="str">
        <f t="shared" si="3"/>
        <v>Rent: 1</v>
      </c>
      <c r="D59" s="40" t="str">
        <f>MONTH(D57)+1 &amp; "/28/" &amp; YEAR(D57)</f>
        <v>8/28/2019</v>
      </c>
      <c r="E59" s="39" t="str">
        <f>"Rent: "&amp;LOOKUP(A59-1, Months, TextMonths)&amp;" '"&amp;B59</f>
        <v>Rent: Aug '2019</v>
      </c>
      <c r="F59" s="36"/>
      <c r="G59" s="84">
        <f>1350/1.018</f>
        <v>1326.1296660117878</v>
      </c>
      <c r="H59" s="38">
        <f t="shared" si="4"/>
        <v>1326.1296660117878</v>
      </c>
      <c r="I59" s="29"/>
      <c r="J59" s="29"/>
      <c r="K59" s="29"/>
      <c r="L59" s="71"/>
    </row>
    <row r="60" spans="1:12" ht="12.75" customHeight="1" x14ac:dyDescent="0.25">
      <c r="A60" s="81">
        <f t="shared" si="1"/>
        <v>8</v>
      </c>
      <c r="B60" s="37">
        <f t="shared" si="2"/>
        <v>2019</v>
      </c>
      <c r="C60" s="37" t="str">
        <f t="shared" si="3"/>
        <v>Priv Tax: 1</v>
      </c>
      <c r="D60" s="26" t="str">
        <f>D59</f>
        <v>8/28/2019</v>
      </c>
      <c r="E60" s="39" t="str">
        <f>"Tax"</f>
        <v>Tax</v>
      </c>
      <c r="F60" s="36"/>
      <c r="G60" s="84">
        <f>G59*0.018</f>
        <v>23.870333988212177</v>
      </c>
      <c r="H60" s="38">
        <f t="shared" si="4"/>
        <v>1350</v>
      </c>
      <c r="I60" s="32"/>
      <c r="J60" s="32"/>
      <c r="K60" s="29"/>
      <c r="L60" s="71"/>
    </row>
    <row r="61" spans="1:12" ht="12.75" customHeight="1" x14ac:dyDescent="0.35">
      <c r="A61" s="81">
        <f t="shared" si="1"/>
        <v>8</v>
      </c>
      <c r="B61" s="37">
        <f t="shared" si="2"/>
        <v>2019</v>
      </c>
      <c r="C61" s="37" t="str">
        <f t="shared" si="3"/>
        <v>Income: 1</v>
      </c>
      <c r="D61" s="28">
        <v>43683</v>
      </c>
      <c r="E61" s="1" t="s">
        <v>51</v>
      </c>
      <c r="F61" s="36">
        <v>1100</v>
      </c>
      <c r="G61" s="36"/>
      <c r="H61" s="38">
        <f t="shared" si="4"/>
        <v>250</v>
      </c>
      <c r="I61" s="36"/>
      <c r="J61" s="36"/>
      <c r="K61" s="29"/>
      <c r="L61" s="71"/>
    </row>
    <row r="62" spans="1:12" ht="12.75" customHeight="1" x14ac:dyDescent="0.35">
      <c r="A62" s="81">
        <f t="shared" si="1"/>
        <v>8</v>
      </c>
      <c r="B62" s="37">
        <f t="shared" si="2"/>
        <v>2019</v>
      </c>
      <c r="C62" s="37" t="str">
        <f t="shared" si="3"/>
        <v>Income: 1</v>
      </c>
      <c r="D62" s="28">
        <v>43686</v>
      </c>
      <c r="E62" s="1" t="s">
        <v>51</v>
      </c>
      <c r="F62" s="36">
        <v>365</v>
      </c>
      <c r="G62" s="36"/>
      <c r="H62" s="38">
        <f t="shared" si="4"/>
        <v>-115</v>
      </c>
      <c r="I62" s="29"/>
      <c r="J62" s="29"/>
      <c r="K62" s="29"/>
      <c r="L62" s="71"/>
    </row>
    <row r="63" spans="1:12" ht="12.75" customHeight="1" x14ac:dyDescent="0.25">
      <c r="A63" s="81">
        <f t="shared" si="1"/>
        <v>8</v>
      </c>
      <c r="B63" s="37">
        <f t="shared" si="2"/>
        <v>2019</v>
      </c>
      <c r="C63" s="37" t="str">
        <f t="shared" si="3"/>
        <v/>
      </c>
      <c r="D63" s="86">
        <v>43686</v>
      </c>
      <c r="E63" s="29" t="s">
        <v>52</v>
      </c>
      <c r="F63" s="36"/>
      <c r="G63" s="36">
        <v>115</v>
      </c>
      <c r="H63" s="38">
        <f t="shared" si="4"/>
        <v>0</v>
      </c>
      <c r="I63" s="29"/>
      <c r="J63" s="29"/>
      <c r="K63" s="29"/>
      <c r="L63" s="71"/>
    </row>
    <row r="64" spans="1:12" ht="12.75" customHeight="1" x14ac:dyDescent="0.25">
      <c r="A64" s="81">
        <f t="shared" si="1"/>
        <v>9</v>
      </c>
      <c r="B64" s="37">
        <f t="shared" si="2"/>
        <v>2019</v>
      </c>
      <c r="C64" s="37" t="str">
        <f t="shared" si="3"/>
        <v>Rent: 1</v>
      </c>
      <c r="D64" s="40" t="str">
        <f>MONTH(D62)+1 &amp; "/28/" &amp; YEAR(D62)</f>
        <v>9/28/2019</v>
      </c>
      <c r="E64" s="39" t="str">
        <f>"Rent: "&amp;LOOKUP(A64-1, Months, TextMonths)&amp;" '"&amp;B64</f>
        <v>Rent: Sep '2019</v>
      </c>
      <c r="F64" s="36"/>
      <c r="G64" s="84">
        <f>1350/1.018</f>
        <v>1326.1296660117878</v>
      </c>
      <c r="H64" s="38">
        <f t="shared" si="4"/>
        <v>1326.1296660117878</v>
      </c>
      <c r="I64" s="39"/>
      <c r="J64" s="30"/>
      <c r="K64" s="29"/>
      <c r="L64" s="71"/>
    </row>
    <row r="65" spans="1:12" ht="12.75" customHeight="1" x14ac:dyDescent="0.25">
      <c r="A65" s="81">
        <f t="shared" si="1"/>
        <v>9</v>
      </c>
      <c r="B65" s="37">
        <f t="shared" si="2"/>
        <v>2019</v>
      </c>
      <c r="C65" s="37" t="str">
        <f t="shared" si="3"/>
        <v>Priv Tax: 1</v>
      </c>
      <c r="D65" s="26" t="str">
        <f>D64</f>
        <v>9/28/2019</v>
      </c>
      <c r="E65" s="39" t="str">
        <f>"Tax"</f>
        <v>Tax</v>
      </c>
      <c r="F65" s="36"/>
      <c r="G65" s="84">
        <f>G64*0.018</f>
        <v>23.870333988212177</v>
      </c>
      <c r="H65" s="38">
        <f t="shared" si="4"/>
        <v>1350</v>
      </c>
      <c r="I65" s="15"/>
      <c r="J65" s="15"/>
      <c r="K65" s="29"/>
      <c r="L65" s="71"/>
    </row>
    <row r="66" spans="1:12" ht="12.75" customHeight="1" x14ac:dyDescent="0.35">
      <c r="A66" s="81">
        <f t="shared" si="1"/>
        <v>9</v>
      </c>
      <c r="B66" s="37">
        <f t="shared" si="2"/>
        <v>2019</v>
      </c>
      <c r="C66" s="37" t="str">
        <f t="shared" si="3"/>
        <v>Income: 1</v>
      </c>
      <c r="D66" s="28">
        <v>43728</v>
      </c>
      <c r="E66" s="1" t="s">
        <v>51</v>
      </c>
      <c r="F66" s="36">
        <v>1575</v>
      </c>
      <c r="G66" s="36"/>
      <c r="H66" s="38">
        <f t="shared" si="4"/>
        <v>-225</v>
      </c>
      <c r="I66" s="29"/>
      <c r="J66" s="29"/>
      <c r="K66" s="29"/>
      <c r="L66" s="71"/>
    </row>
    <row r="67" spans="1:12" ht="12.75" customHeight="1" thickBot="1" x14ac:dyDescent="0.3">
      <c r="A67" s="82">
        <f t="shared" si="1"/>
        <v>9</v>
      </c>
      <c r="B67" s="47">
        <f t="shared" si="2"/>
        <v>2019</v>
      </c>
      <c r="C67" s="47" t="str">
        <f t="shared" si="3"/>
        <v/>
      </c>
      <c r="D67" s="92">
        <v>43728</v>
      </c>
      <c r="E67" s="49" t="s">
        <v>52</v>
      </c>
      <c r="F67" s="50"/>
      <c r="G67" s="50">
        <v>225</v>
      </c>
      <c r="H67" s="77">
        <f t="shared" si="4"/>
        <v>0</v>
      </c>
      <c r="I67" s="49"/>
      <c r="J67" s="49"/>
      <c r="K67" s="49"/>
      <c r="L67" s="78"/>
    </row>
    <row r="68" spans="1:12" ht="12.75" customHeight="1" x14ac:dyDescent="0.25">
      <c r="A68" s="80">
        <f t="shared" si="1"/>
        <v>10</v>
      </c>
      <c r="B68" s="42">
        <f t="shared" si="2"/>
        <v>2019</v>
      </c>
      <c r="C68" s="42" t="str">
        <f t="shared" si="3"/>
        <v>Rent: 1</v>
      </c>
      <c r="D68" s="43" t="str">
        <f>MONTH(D66)+1 &amp; "/28/" &amp; YEAR(D66)</f>
        <v>10/28/2019</v>
      </c>
      <c r="E68" s="44" t="str">
        <f>"Rent: "&amp;LOOKUP(A68-1, Months, TextMonths)&amp;" '"&amp;B68</f>
        <v>Rent: Oct '2019</v>
      </c>
      <c r="F68" s="45"/>
      <c r="G68" s="83">
        <f>1350/1.018</f>
        <v>1326.1296660117878</v>
      </c>
      <c r="H68" s="74">
        <f t="shared" si="4"/>
        <v>1326.1296660117878</v>
      </c>
      <c r="I68" s="33"/>
      <c r="J68" s="33"/>
      <c r="K68" s="33"/>
      <c r="L68" s="75"/>
    </row>
    <row r="69" spans="1:12" ht="12.75" customHeight="1" x14ac:dyDescent="0.25">
      <c r="A69" s="81">
        <f t="shared" si="1"/>
        <v>10</v>
      </c>
      <c r="B69" s="37">
        <f t="shared" si="2"/>
        <v>2019</v>
      </c>
      <c r="C69" s="37" t="str">
        <f t="shared" si="3"/>
        <v>Priv Tax: 1</v>
      </c>
      <c r="D69" s="26" t="str">
        <f>D68</f>
        <v>10/28/2019</v>
      </c>
      <c r="E69" s="39" t="str">
        <f>"Tax"</f>
        <v>Tax</v>
      </c>
      <c r="F69" s="36"/>
      <c r="G69" s="84">
        <f>G68*0.018</f>
        <v>23.870333988212177</v>
      </c>
      <c r="H69" s="38">
        <f t="shared" si="4"/>
        <v>1350</v>
      </c>
      <c r="I69" s="29"/>
      <c r="J69" s="29"/>
      <c r="K69" s="29"/>
      <c r="L69" s="71"/>
    </row>
    <row r="70" spans="1:12" ht="12.75" customHeight="1" x14ac:dyDescent="0.35">
      <c r="A70" s="81">
        <f t="shared" si="1"/>
        <v>11</v>
      </c>
      <c r="B70" s="37">
        <f t="shared" si="2"/>
        <v>2019</v>
      </c>
      <c r="C70" s="37" t="str">
        <f t="shared" si="3"/>
        <v>Income: 1</v>
      </c>
      <c r="D70" s="28">
        <v>43777</v>
      </c>
      <c r="E70" s="1" t="s">
        <v>51</v>
      </c>
      <c r="F70" s="36">
        <v>1350</v>
      </c>
      <c r="G70" s="36"/>
      <c r="H70" s="38">
        <f t="shared" si="4"/>
        <v>0</v>
      </c>
      <c r="I70" s="29"/>
      <c r="J70" s="29"/>
      <c r="K70" s="29"/>
      <c r="L70" s="71"/>
    </row>
    <row r="71" spans="1:12" ht="12.75" customHeight="1" x14ac:dyDescent="0.25">
      <c r="A71" s="81">
        <f t="shared" si="1"/>
        <v>11</v>
      </c>
      <c r="B71" s="37">
        <f t="shared" si="2"/>
        <v>2019</v>
      </c>
      <c r="C71" s="37" t="str">
        <f t="shared" si="3"/>
        <v/>
      </c>
      <c r="D71" s="86">
        <v>43777</v>
      </c>
      <c r="E71" s="29" t="s">
        <v>52</v>
      </c>
      <c r="F71" s="36"/>
      <c r="G71" s="36">
        <v>50</v>
      </c>
      <c r="H71" s="38">
        <f t="shared" si="4"/>
        <v>50</v>
      </c>
      <c r="I71" s="32"/>
      <c r="J71" s="32"/>
      <c r="K71" s="29"/>
      <c r="L71" s="71"/>
    </row>
    <row r="72" spans="1:12" ht="12.75" customHeight="1" x14ac:dyDescent="0.25">
      <c r="A72" s="81">
        <f t="shared" si="1"/>
        <v>11</v>
      </c>
      <c r="B72" s="37">
        <f t="shared" si="2"/>
        <v>2019</v>
      </c>
      <c r="C72" s="37" t="str">
        <f t="shared" si="3"/>
        <v>Rent: 1</v>
      </c>
      <c r="D72" s="40" t="str">
        <f>MONTH(D69)+1 &amp; "/28/" &amp; YEAR(D69)</f>
        <v>11/28/2019</v>
      </c>
      <c r="E72" s="39" t="str">
        <f>"Rent: "&amp;LOOKUP(A72-1, Months, TextMonths)&amp;" '"&amp;B72</f>
        <v>Rent: Nov '2019</v>
      </c>
      <c r="F72" s="36"/>
      <c r="G72" s="84">
        <f>1350/1.018</f>
        <v>1326.1296660117878</v>
      </c>
      <c r="H72" s="38">
        <f t="shared" si="4"/>
        <v>1376.1296660117878</v>
      </c>
      <c r="I72" s="36"/>
      <c r="J72" s="36"/>
      <c r="K72" s="29"/>
      <c r="L72" s="71"/>
    </row>
    <row r="73" spans="1:12" ht="12.75" customHeight="1" x14ac:dyDescent="0.25">
      <c r="A73" s="81">
        <f t="shared" si="1"/>
        <v>11</v>
      </c>
      <c r="B73" s="37">
        <f t="shared" si="2"/>
        <v>2019</v>
      </c>
      <c r="C73" s="37" t="str">
        <f t="shared" si="3"/>
        <v>Priv Tax: 1</v>
      </c>
      <c r="D73" s="26" t="str">
        <f>D72</f>
        <v>11/28/2019</v>
      </c>
      <c r="E73" s="39" t="str">
        <f>"Tax"</f>
        <v>Tax</v>
      </c>
      <c r="F73" s="36"/>
      <c r="G73" s="84">
        <f>G72*0.018</f>
        <v>23.870333988212177</v>
      </c>
      <c r="H73" s="38">
        <f t="shared" si="4"/>
        <v>1400</v>
      </c>
      <c r="I73" s="29"/>
      <c r="J73" s="29"/>
      <c r="K73" s="29"/>
      <c r="L73" s="71"/>
    </row>
    <row r="74" spans="1:12" ht="12.75" customHeight="1" thickBot="1" x14ac:dyDescent="0.4">
      <c r="A74" s="82">
        <f t="shared" si="1"/>
        <v>12</v>
      </c>
      <c r="B74" s="47">
        <f t="shared" si="2"/>
        <v>2019</v>
      </c>
      <c r="C74" s="47" t="str">
        <f t="shared" si="3"/>
        <v>Income: 1</v>
      </c>
      <c r="D74" s="48">
        <v>43801</v>
      </c>
      <c r="E74" s="76" t="s">
        <v>51</v>
      </c>
      <c r="F74" s="50">
        <v>1400</v>
      </c>
      <c r="G74" s="50"/>
      <c r="H74" s="77">
        <f t="shared" si="4"/>
        <v>0</v>
      </c>
      <c r="I74" s="49"/>
      <c r="J74" s="49"/>
      <c r="K74" s="49"/>
      <c r="L74" s="78"/>
    </row>
    <row r="75" spans="1:12" ht="12.75" customHeight="1" x14ac:dyDescent="0.25">
      <c r="A75" s="80">
        <f t="shared" si="1"/>
        <v>12</v>
      </c>
      <c r="B75" s="42">
        <f t="shared" si="2"/>
        <v>2019</v>
      </c>
      <c r="C75" s="42" t="str">
        <f t="shared" si="3"/>
        <v>Rent: 1</v>
      </c>
      <c r="D75" s="43" t="str">
        <f>MONTH(D72)+1 &amp; "/28/" &amp; YEAR(D72)</f>
        <v>12/28/2019</v>
      </c>
      <c r="E75" s="44" t="str">
        <f>"Rent: "&amp;LOOKUP(A75-1, Months, TextMonths)&amp;" '"&amp;B75</f>
        <v>Rent: Dec '2019</v>
      </c>
      <c r="F75" s="45"/>
      <c r="G75" s="83">
        <f>1350/1.018</f>
        <v>1326.1296660117878</v>
      </c>
      <c r="H75" s="74">
        <f t="shared" si="4"/>
        <v>1326.1296660117878</v>
      </c>
      <c r="I75" s="33"/>
      <c r="J75" s="33"/>
      <c r="K75" s="33"/>
      <c r="L75" s="75"/>
    </row>
    <row r="76" spans="1:12" ht="12.75" customHeight="1" x14ac:dyDescent="0.25">
      <c r="A76" s="81">
        <f t="shared" si="1"/>
        <v>12</v>
      </c>
      <c r="B76" s="37">
        <f t="shared" si="2"/>
        <v>2019</v>
      </c>
      <c r="C76" s="37" t="str">
        <f t="shared" si="3"/>
        <v>Priv Tax: 1</v>
      </c>
      <c r="D76" s="26" t="str">
        <f>D75</f>
        <v>12/28/2019</v>
      </c>
      <c r="E76" s="39" t="str">
        <f>"Tax"</f>
        <v>Tax</v>
      </c>
      <c r="F76" s="36"/>
      <c r="G76" s="84">
        <f>G75*0.018</f>
        <v>23.870333988212177</v>
      </c>
      <c r="H76" s="38">
        <f t="shared" si="4"/>
        <v>1350</v>
      </c>
      <c r="I76" s="29"/>
      <c r="J76" s="29"/>
      <c r="K76" s="29"/>
      <c r="L76" s="71"/>
    </row>
    <row r="77" spans="1:12" ht="12.75" customHeight="1" x14ac:dyDescent="0.35">
      <c r="A77" s="81">
        <f t="shared" si="1"/>
        <v>1</v>
      </c>
      <c r="B77" s="37">
        <f t="shared" si="2"/>
        <v>2020</v>
      </c>
      <c r="C77" s="37" t="str">
        <f t="shared" si="3"/>
        <v>Income: 1</v>
      </c>
      <c r="D77" s="28">
        <v>43851</v>
      </c>
      <c r="E77" s="1" t="s">
        <v>51</v>
      </c>
      <c r="F77" s="36">
        <v>1500</v>
      </c>
      <c r="G77" s="36"/>
      <c r="H77" s="38">
        <f t="shared" si="4"/>
        <v>-150</v>
      </c>
      <c r="I77" s="29"/>
      <c r="J77" s="29"/>
      <c r="K77" s="29"/>
      <c r="L77" s="71"/>
    </row>
    <row r="78" spans="1:12" ht="12.75" customHeight="1" x14ac:dyDescent="0.25">
      <c r="A78" s="81">
        <f t="shared" si="1"/>
        <v>1</v>
      </c>
      <c r="B78" s="37">
        <f t="shared" si="2"/>
        <v>2020</v>
      </c>
      <c r="C78" s="37" t="str">
        <f t="shared" si="3"/>
        <v/>
      </c>
      <c r="D78" s="86">
        <v>43851</v>
      </c>
      <c r="E78" s="29" t="s">
        <v>52</v>
      </c>
      <c r="F78" s="36"/>
      <c r="G78" s="36">
        <v>150</v>
      </c>
      <c r="H78" s="38">
        <f t="shared" si="4"/>
        <v>0</v>
      </c>
      <c r="I78" s="29"/>
      <c r="J78" s="29"/>
      <c r="K78" s="29"/>
      <c r="L78" s="71"/>
    </row>
    <row r="79" spans="1:12" ht="12.75" customHeight="1" x14ac:dyDescent="0.25">
      <c r="A79" s="81">
        <f t="shared" si="1"/>
        <v>1</v>
      </c>
      <c r="B79" s="37">
        <f t="shared" si="2"/>
        <v>2020</v>
      </c>
      <c r="C79" s="37" t="str">
        <f t="shared" si="3"/>
        <v>Rent: 1</v>
      </c>
      <c r="D79" s="40" t="str">
        <f>MOD(MONTH(D76)+1, 12) &amp; "/28/" &amp; YEAR(D76)+1</f>
        <v>1/28/2020</v>
      </c>
      <c r="E79" s="39" t="str">
        <f>"Rent: "&amp;LOOKUP(A79-1, Months, TextMonths)&amp;" '"&amp;B79</f>
        <v>Rent: Jan '2020</v>
      </c>
      <c r="F79" s="36"/>
      <c r="G79" s="84">
        <f>1350/1.018</f>
        <v>1326.1296660117878</v>
      </c>
      <c r="H79" s="38">
        <f t="shared" si="4"/>
        <v>1326.1296660117878</v>
      </c>
      <c r="I79" s="29"/>
      <c r="J79" s="29"/>
      <c r="K79" s="29"/>
      <c r="L79" s="71"/>
    </row>
    <row r="80" spans="1:12" ht="12.75" customHeight="1" x14ac:dyDescent="0.25">
      <c r="A80" s="81">
        <f t="shared" si="1"/>
        <v>1</v>
      </c>
      <c r="B80" s="37">
        <f t="shared" si="2"/>
        <v>2020</v>
      </c>
      <c r="C80" s="37" t="str">
        <f t="shared" si="3"/>
        <v>Priv Tax: 1</v>
      </c>
      <c r="D80" s="26" t="str">
        <f>D79</f>
        <v>1/28/2020</v>
      </c>
      <c r="E80" s="39" t="str">
        <f>"Tax"</f>
        <v>Tax</v>
      </c>
      <c r="F80" s="36"/>
      <c r="G80" s="84">
        <f>G79*0.018</f>
        <v>23.870333988212177</v>
      </c>
      <c r="H80" s="38">
        <f t="shared" si="4"/>
        <v>1350</v>
      </c>
      <c r="I80" s="29"/>
      <c r="J80" s="29"/>
      <c r="K80" s="29"/>
      <c r="L80" s="71"/>
    </row>
    <row r="81" spans="1:12" ht="12.75" customHeight="1" x14ac:dyDescent="0.35">
      <c r="A81" s="81">
        <f t="shared" si="1"/>
        <v>2</v>
      </c>
      <c r="B81" s="37">
        <f t="shared" si="2"/>
        <v>2020</v>
      </c>
      <c r="C81" s="37" t="str">
        <f t="shared" si="3"/>
        <v>Income: 1</v>
      </c>
      <c r="D81" s="28">
        <v>43874</v>
      </c>
      <c r="E81" s="1" t="s">
        <v>51</v>
      </c>
      <c r="F81" s="36">
        <v>1500</v>
      </c>
      <c r="G81" s="36"/>
      <c r="H81" s="38">
        <f t="shared" si="4"/>
        <v>-150</v>
      </c>
      <c r="I81" s="29"/>
      <c r="J81" s="29"/>
      <c r="K81" s="29"/>
      <c r="L81" s="71"/>
    </row>
    <row r="82" spans="1:12" ht="12.75" customHeight="1" x14ac:dyDescent="0.25">
      <c r="A82" s="81">
        <f t="shared" si="1"/>
        <v>2</v>
      </c>
      <c r="B82" s="37">
        <f t="shared" si="2"/>
        <v>2019</v>
      </c>
      <c r="C82" s="37" t="str">
        <f t="shared" si="3"/>
        <v/>
      </c>
      <c r="D82" s="86">
        <v>43509</v>
      </c>
      <c r="E82" s="29" t="s">
        <v>52</v>
      </c>
      <c r="F82" s="36"/>
      <c r="G82" s="36">
        <v>150</v>
      </c>
      <c r="H82" s="38">
        <f t="shared" si="4"/>
        <v>0</v>
      </c>
      <c r="I82" s="29"/>
      <c r="J82" s="29"/>
      <c r="K82" s="29"/>
      <c r="L82" s="71"/>
    </row>
    <row r="83" spans="1:12" ht="12.75" customHeight="1" x14ac:dyDescent="0.25">
      <c r="A83" s="81">
        <f t="shared" si="1"/>
        <v>2</v>
      </c>
      <c r="B83" s="37">
        <f t="shared" si="2"/>
        <v>2020</v>
      </c>
      <c r="C83" s="37" t="str">
        <f t="shared" si="3"/>
        <v>Rent: 1</v>
      </c>
      <c r="D83" s="40" t="str">
        <f>MOD(MONTH(D80)+1, 12) &amp; "/28/" &amp; YEAR(D80)</f>
        <v>2/28/2020</v>
      </c>
      <c r="E83" s="39" t="str">
        <f>"Rent: "&amp;LOOKUP(A83-1, Months, TextMonths)&amp;" '"&amp;B83</f>
        <v>Rent: Feb '2020</v>
      </c>
      <c r="F83" s="36"/>
      <c r="G83" s="84">
        <f>1350/1.018</f>
        <v>1326.1296660117878</v>
      </c>
      <c r="H83" s="38">
        <f t="shared" si="4"/>
        <v>1326.1296660117878</v>
      </c>
      <c r="I83" s="32"/>
      <c r="J83" s="32"/>
      <c r="K83" s="29"/>
      <c r="L83" s="71"/>
    </row>
    <row r="84" spans="1:12" ht="12.75" customHeight="1" x14ac:dyDescent="0.25">
      <c r="A84" s="81">
        <f t="shared" si="1"/>
        <v>2</v>
      </c>
      <c r="B84" s="37">
        <f t="shared" si="2"/>
        <v>2020</v>
      </c>
      <c r="C84" s="37" t="str">
        <f t="shared" si="3"/>
        <v>Priv Tax: 1</v>
      </c>
      <c r="D84" s="26" t="str">
        <f>D83</f>
        <v>2/28/2020</v>
      </c>
      <c r="E84" s="39" t="str">
        <f>"Tax"</f>
        <v>Tax</v>
      </c>
      <c r="F84" s="36"/>
      <c r="G84" s="84">
        <f>G83*0.018</f>
        <v>23.870333988212177</v>
      </c>
      <c r="H84" s="38">
        <f t="shared" si="4"/>
        <v>1350</v>
      </c>
      <c r="I84" s="36"/>
      <c r="J84" s="87"/>
      <c r="K84" s="29"/>
      <c r="L84" s="71"/>
    </row>
    <row r="85" spans="1:12" ht="12.75" customHeight="1" x14ac:dyDescent="0.35">
      <c r="A85" s="81">
        <f t="shared" si="1"/>
        <v>3</v>
      </c>
      <c r="B85" s="37">
        <f t="shared" si="2"/>
        <v>2020</v>
      </c>
      <c r="C85" s="37" t="str">
        <f t="shared" si="3"/>
        <v>Income: 1</v>
      </c>
      <c r="D85" s="28">
        <v>43899</v>
      </c>
      <c r="E85" s="1" t="s">
        <v>51</v>
      </c>
      <c r="F85" s="36">
        <v>1435</v>
      </c>
      <c r="G85" s="36"/>
      <c r="H85" s="38">
        <f t="shared" si="4"/>
        <v>-85</v>
      </c>
      <c r="I85" s="29"/>
      <c r="J85" s="29"/>
      <c r="K85" s="29"/>
      <c r="L85" s="71"/>
    </row>
    <row r="86" spans="1:12" ht="12.75" customHeight="1" thickBot="1" x14ac:dyDescent="0.3">
      <c r="A86" s="82">
        <f t="shared" si="1"/>
        <v>3</v>
      </c>
      <c r="B86" s="47">
        <f t="shared" si="2"/>
        <v>2019</v>
      </c>
      <c r="C86" s="47" t="str">
        <f t="shared" si="3"/>
        <v/>
      </c>
      <c r="D86" s="92">
        <v>43533</v>
      </c>
      <c r="E86" s="49" t="s">
        <v>52</v>
      </c>
      <c r="F86" s="50"/>
      <c r="G86" s="50">
        <v>85</v>
      </c>
      <c r="H86" s="77">
        <f t="shared" si="4"/>
        <v>0</v>
      </c>
      <c r="I86" s="49"/>
      <c r="J86" s="49"/>
      <c r="K86" s="49"/>
      <c r="L86" s="78"/>
    </row>
    <row r="87" spans="1:12" ht="12.75" customHeight="1" x14ac:dyDescent="0.25">
      <c r="A87" s="80">
        <f t="shared" si="1"/>
        <v>3</v>
      </c>
      <c r="B87" s="42">
        <f t="shared" si="2"/>
        <v>2020</v>
      </c>
      <c r="C87" s="42" t="str">
        <f t="shared" si="3"/>
        <v>Rent: 1</v>
      </c>
      <c r="D87" s="43" t="str">
        <f>MOD(MONTH(D84)+1, 12) &amp; "/28/" &amp; YEAR(D84)</f>
        <v>3/28/2020</v>
      </c>
      <c r="E87" s="44" t="str">
        <f>"Rent: "&amp;LOOKUP(A87-1, Months, TextMonths)&amp;" '"&amp;B87</f>
        <v>Rent: Mar '2020</v>
      </c>
      <c r="F87" s="45"/>
      <c r="G87" s="83">
        <f>1350/1.018</f>
        <v>1326.1296660117878</v>
      </c>
      <c r="H87" s="74">
        <f t="shared" si="4"/>
        <v>1326.1296660117878</v>
      </c>
      <c r="I87" s="33"/>
      <c r="J87" s="33"/>
      <c r="K87" s="33"/>
      <c r="L87" s="75"/>
    </row>
    <row r="88" spans="1:12" ht="12.75" customHeight="1" x14ac:dyDescent="0.25">
      <c r="A88" s="81">
        <f t="shared" si="1"/>
        <v>3</v>
      </c>
      <c r="B88" s="37">
        <f t="shared" si="2"/>
        <v>2020</v>
      </c>
      <c r="C88" s="37" t="str">
        <f t="shared" si="3"/>
        <v>Priv Tax: 1</v>
      </c>
      <c r="D88" s="26" t="str">
        <f>D87</f>
        <v>3/28/2020</v>
      </c>
      <c r="E88" s="39" t="str">
        <f>"Tax"</f>
        <v>Tax</v>
      </c>
      <c r="F88" s="36"/>
      <c r="G88" s="84">
        <f>G87*0.018</f>
        <v>23.870333988212177</v>
      </c>
      <c r="H88" s="38">
        <f t="shared" si="4"/>
        <v>1350</v>
      </c>
      <c r="I88" s="29"/>
      <c r="J88" s="29"/>
      <c r="K88" s="29"/>
      <c r="L88" s="71"/>
    </row>
    <row r="89" spans="1:12" ht="12.75" customHeight="1" x14ac:dyDescent="0.35">
      <c r="A89" s="81">
        <f t="shared" si="1"/>
        <v>4</v>
      </c>
      <c r="B89" s="37">
        <f t="shared" si="2"/>
        <v>2020</v>
      </c>
      <c r="C89" s="37" t="str">
        <f t="shared" si="3"/>
        <v>Income: 1</v>
      </c>
      <c r="D89" s="28">
        <v>43927</v>
      </c>
      <c r="E89" s="1" t="s">
        <v>51</v>
      </c>
      <c r="F89" s="36">
        <v>1350</v>
      </c>
      <c r="G89" s="36"/>
      <c r="H89" s="38">
        <f t="shared" si="4"/>
        <v>0</v>
      </c>
      <c r="I89" s="29"/>
      <c r="J89" s="29"/>
      <c r="K89" s="29"/>
      <c r="L89" s="71"/>
    </row>
    <row r="90" spans="1:12" ht="12.75" customHeight="1" x14ac:dyDescent="0.25">
      <c r="A90" s="81">
        <f t="shared" si="1"/>
        <v>4</v>
      </c>
      <c r="B90" s="37">
        <f t="shared" si="2"/>
        <v>2020</v>
      </c>
      <c r="C90" s="37" t="str">
        <f t="shared" si="3"/>
        <v>Rent: 1</v>
      </c>
      <c r="D90" s="40" t="str">
        <f>MOD(MONTH(D87)+1, 12) &amp; "/28/" &amp; YEAR(D87)</f>
        <v>4/28/2020</v>
      </c>
      <c r="E90" s="39" t="str">
        <f>"Rent: "&amp;LOOKUP(A90-1, Months, TextMonths)&amp;" '"&amp;B90</f>
        <v>Rent: Apr '2020</v>
      </c>
      <c r="F90" s="36"/>
      <c r="G90" s="84">
        <f>1350/1.018</f>
        <v>1326.1296660117878</v>
      </c>
      <c r="H90" s="38">
        <f t="shared" si="4"/>
        <v>1326.1296660117878</v>
      </c>
      <c r="I90" s="29"/>
      <c r="J90" s="29"/>
      <c r="K90" s="29"/>
      <c r="L90" s="71"/>
    </row>
    <row r="91" spans="1:12" ht="12.75" customHeight="1" x14ac:dyDescent="0.25">
      <c r="A91" s="81">
        <f t="shared" si="1"/>
        <v>4</v>
      </c>
      <c r="B91" s="37">
        <f t="shared" si="2"/>
        <v>2020</v>
      </c>
      <c r="C91" s="37" t="str">
        <f t="shared" si="3"/>
        <v>Priv Tax: 1</v>
      </c>
      <c r="D91" s="26" t="str">
        <f>D90</f>
        <v>4/28/2020</v>
      </c>
      <c r="E91" s="39" t="str">
        <f>"Tax"</f>
        <v>Tax</v>
      </c>
      <c r="F91" s="36"/>
      <c r="G91" s="84">
        <f>G90*0.018</f>
        <v>23.870333988212177</v>
      </c>
      <c r="H91" s="38">
        <f t="shared" si="4"/>
        <v>1350</v>
      </c>
      <c r="I91" s="29"/>
      <c r="J91" s="29"/>
      <c r="K91" s="29"/>
      <c r="L91" s="71"/>
    </row>
    <row r="92" spans="1:12" ht="12.75" customHeight="1" thickBot="1" x14ac:dyDescent="0.4">
      <c r="A92" s="81">
        <f t="shared" si="1"/>
        <v>5</v>
      </c>
      <c r="B92" s="37">
        <f t="shared" si="2"/>
        <v>2020</v>
      </c>
      <c r="C92" s="37" t="str">
        <f t="shared" si="3"/>
        <v>Income: 1</v>
      </c>
      <c r="D92" s="28">
        <v>43955</v>
      </c>
      <c r="E92" s="1" t="s">
        <v>51</v>
      </c>
      <c r="F92" s="36">
        <v>1350</v>
      </c>
      <c r="G92" s="36"/>
      <c r="H92" s="38">
        <f t="shared" si="4"/>
        <v>0</v>
      </c>
      <c r="I92" s="29"/>
      <c r="J92" s="29"/>
      <c r="K92" s="29"/>
      <c r="L92" s="71"/>
    </row>
    <row r="93" spans="1:12" ht="12.75" customHeight="1" x14ac:dyDescent="0.25">
      <c r="A93" s="80">
        <f t="shared" si="1"/>
        <v>5</v>
      </c>
      <c r="B93" s="42">
        <f t="shared" si="2"/>
        <v>2020</v>
      </c>
      <c r="C93" s="42" t="str">
        <f t="shared" si="3"/>
        <v>Rent: 1</v>
      </c>
      <c r="D93" s="43" t="str">
        <f>MOD(MONTH(D92), 12) &amp; "/28/" &amp; YEAR(D90)</f>
        <v>5/28/2020</v>
      </c>
      <c r="E93" s="44" t="str">
        <f>"Rent: "&amp;LOOKUP(A93-1, Months, TextMonths)&amp;" '"&amp;B93</f>
        <v>Rent: May '2020</v>
      </c>
      <c r="F93" s="45"/>
      <c r="G93" s="83">
        <f>1350/1.018</f>
        <v>1326.1296660117878</v>
      </c>
      <c r="H93" s="74">
        <f t="shared" si="4"/>
        <v>1326.1296660117878</v>
      </c>
      <c r="I93" s="45"/>
      <c r="J93" s="93"/>
      <c r="K93" s="33"/>
      <c r="L93" s="75"/>
    </row>
    <row r="94" spans="1:12" ht="12.75" customHeight="1" x14ac:dyDescent="0.25">
      <c r="A94" s="81">
        <f t="shared" si="1"/>
        <v>5</v>
      </c>
      <c r="B94" s="37">
        <f t="shared" si="2"/>
        <v>2020</v>
      </c>
      <c r="C94" s="37" t="str">
        <f t="shared" si="3"/>
        <v>Priv Tax: 1</v>
      </c>
      <c r="D94" s="26" t="str">
        <f>D93</f>
        <v>5/28/2020</v>
      </c>
      <c r="E94" s="39" t="str">
        <f>"Tax"</f>
        <v>Tax</v>
      </c>
      <c r="F94" s="36"/>
      <c r="G94" s="84">
        <f>G93*0.018</f>
        <v>23.870333988212177</v>
      </c>
      <c r="H94" s="38">
        <f t="shared" si="4"/>
        <v>1350</v>
      </c>
      <c r="I94" s="29"/>
      <c r="J94" s="29"/>
      <c r="K94" s="29"/>
      <c r="L94" s="71"/>
    </row>
    <row r="95" spans="1:12" ht="12.75" customHeight="1" x14ac:dyDescent="0.35">
      <c r="A95" s="81">
        <f t="shared" si="1"/>
        <v>6</v>
      </c>
      <c r="B95" s="37">
        <f t="shared" si="2"/>
        <v>2020</v>
      </c>
      <c r="C95" s="37" t="str">
        <f t="shared" si="3"/>
        <v>Income: 1</v>
      </c>
      <c r="D95" s="28">
        <v>43983</v>
      </c>
      <c r="E95" s="1" t="s">
        <v>51</v>
      </c>
      <c r="F95" s="36">
        <v>1350</v>
      </c>
      <c r="G95" s="36"/>
      <c r="H95" s="38">
        <f t="shared" si="4"/>
        <v>0</v>
      </c>
      <c r="I95" s="29"/>
      <c r="J95" s="29"/>
      <c r="K95" s="29"/>
      <c r="L95" s="71"/>
    </row>
    <row r="96" spans="1:12" ht="12.75" customHeight="1" x14ac:dyDescent="0.25">
      <c r="A96" s="81">
        <f t="shared" si="1"/>
        <v>6</v>
      </c>
      <c r="B96" s="37">
        <f t="shared" si="2"/>
        <v>2020</v>
      </c>
      <c r="C96" s="37" t="str">
        <f t="shared" si="3"/>
        <v>Rent: 1</v>
      </c>
      <c r="D96" s="40" t="str">
        <f>MOD(MONTH(D93)+1, 12) &amp; "/28/" &amp; YEAR(D93)</f>
        <v>6/28/2020</v>
      </c>
      <c r="E96" s="39" t="str">
        <f>"Rent: "&amp;LOOKUP(A96-1, Months, TextMonths)&amp;" '"&amp;B96</f>
        <v>Rent: Jun '2020</v>
      </c>
      <c r="F96" s="36"/>
      <c r="G96" s="84">
        <f>1350/1.018</f>
        <v>1326.1296660117878</v>
      </c>
      <c r="H96" s="38">
        <f t="shared" si="4"/>
        <v>1326.1296660117878</v>
      </c>
      <c r="I96" s="29"/>
      <c r="J96" s="29"/>
      <c r="K96" s="29"/>
      <c r="L96" s="71"/>
    </row>
    <row r="97" spans="1:15" ht="12.75" customHeight="1" x14ac:dyDescent="0.25">
      <c r="A97" s="81">
        <f t="shared" si="1"/>
        <v>6</v>
      </c>
      <c r="B97" s="37">
        <f t="shared" si="2"/>
        <v>2020</v>
      </c>
      <c r="C97" s="37" t="str">
        <f t="shared" si="3"/>
        <v>Priv Tax: 1</v>
      </c>
      <c r="D97" s="26" t="str">
        <f>D96</f>
        <v>6/28/2020</v>
      </c>
      <c r="E97" s="39" t="str">
        <f>"Tax"</f>
        <v>Tax</v>
      </c>
      <c r="F97" s="36"/>
      <c r="G97" s="84">
        <f>G96*0.018</f>
        <v>23.870333988212177</v>
      </c>
      <c r="H97" s="38">
        <f t="shared" si="4"/>
        <v>1350</v>
      </c>
      <c r="I97" s="29"/>
      <c r="J97" s="29"/>
      <c r="K97" s="29"/>
      <c r="L97" s="71"/>
    </row>
    <row r="98" spans="1:15" ht="12.75" customHeight="1" x14ac:dyDescent="0.35">
      <c r="A98" s="81">
        <f t="shared" si="1"/>
        <v>7</v>
      </c>
      <c r="B98" s="37">
        <f t="shared" si="2"/>
        <v>2020</v>
      </c>
      <c r="C98" s="37" t="str">
        <f t="shared" si="3"/>
        <v>Income: 1</v>
      </c>
      <c r="D98" s="28">
        <v>44014</v>
      </c>
      <c r="E98" s="1" t="s">
        <v>51</v>
      </c>
      <c r="F98" s="36">
        <v>1350</v>
      </c>
      <c r="G98" s="36"/>
      <c r="H98" s="38">
        <f t="shared" si="4"/>
        <v>0</v>
      </c>
      <c r="I98" s="29"/>
      <c r="J98" s="29"/>
      <c r="K98" s="29"/>
      <c r="L98" s="71"/>
    </row>
    <row r="99" spans="1:15" ht="12.75" customHeight="1" x14ac:dyDescent="0.25">
      <c r="A99" s="81">
        <f t="shared" si="1"/>
        <v>7</v>
      </c>
      <c r="B99" s="37">
        <f t="shared" si="2"/>
        <v>2020</v>
      </c>
      <c r="C99" s="37" t="str">
        <f t="shared" si="3"/>
        <v>Rent: 1</v>
      </c>
      <c r="D99" s="40" t="str">
        <f>MOD(MONTH(D97)+1, 12) &amp; "/28/" &amp; YEAR(D97)</f>
        <v>7/28/2020</v>
      </c>
      <c r="E99" s="39" t="str">
        <f>"Rent: "&amp;LOOKUP(A99-1, Months, TextMonths)&amp;" '"&amp;B99</f>
        <v>Rent: Jul '2020</v>
      </c>
      <c r="F99" s="36"/>
      <c r="G99" s="84">
        <f>1350/1.018</f>
        <v>1326.1296660117878</v>
      </c>
      <c r="H99" s="38">
        <f t="shared" si="4"/>
        <v>1326.1296660117878</v>
      </c>
      <c r="K99" s="29"/>
      <c r="L99" s="71"/>
      <c r="M99" s="32"/>
      <c r="N99" s="32"/>
    </row>
    <row r="100" spans="1:15" ht="12.75" customHeight="1" x14ac:dyDescent="0.25">
      <c r="A100" s="81">
        <f t="shared" si="1"/>
        <v>7</v>
      </c>
      <c r="B100" s="37">
        <f t="shared" si="2"/>
        <v>2020</v>
      </c>
      <c r="C100" s="37" t="str">
        <f t="shared" si="3"/>
        <v>Priv Tax: 1</v>
      </c>
      <c r="D100" s="26" t="str">
        <f>D99</f>
        <v>7/28/2020</v>
      </c>
      <c r="E100" s="39" t="str">
        <f>"Tax"</f>
        <v>Tax</v>
      </c>
      <c r="F100" s="36"/>
      <c r="G100" s="84">
        <f>G99*0.018</f>
        <v>23.870333988212177</v>
      </c>
      <c r="H100" s="38">
        <f t="shared" si="4"/>
        <v>1350</v>
      </c>
      <c r="L100" s="71"/>
      <c r="M100" s="36"/>
      <c r="N100" s="87"/>
      <c r="O100" s="29"/>
    </row>
    <row r="101" spans="1:15" ht="12.75" customHeight="1" x14ac:dyDescent="0.35">
      <c r="A101" s="81">
        <f t="shared" si="1"/>
        <v>8</v>
      </c>
      <c r="B101" s="37">
        <f t="shared" si="2"/>
        <v>2020</v>
      </c>
      <c r="C101" s="37" t="str">
        <f t="shared" si="3"/>
        <v>Income: 1</v>
      </c>
      <c r="D101" s="28">
        <v>44067</v>
      </c>
      <c r="E101" s="1" t="s">
        <v>51</v>
      </c>
      <c r="F101" s="36">
        <v>1350</v>
      </c>
      <c r="G101" s="36"/>
      <c r="H101" s="38">
        <f t="shared" si="4"/>
        <v>0</v>
      </c>
      <c r="I101" s="29"/>
      <c r="J101" s="29"/>
      <c r="K101" s="29"/>
      <c r="L101" s="71"/>
    </row>
    <row r="102" spans="1:15" ht="12.75" customHeight="1" thickBot="1" x14ac:dyDescent="0.3">
      <c r="A102" s="82">
        <f t="shared" si="1"/>
        <v>8</v>
      </c>
      <c r="B102" s="47">
        <f t="shared" si="2"/>
        <v>2020</v>
      </c>
      <c r="C102" s="47" t="str">
        <f t="shared" si="3"/>
        <v/>
      </c>
      <c r="D102" s="92">
        <v>44067</v>
      </c>
      <c r="E102" s="170" t="s">
        <v>52</v>
      </c>
      <c r="F102" s="50"/>
      <c r="G102" s="50">
        <v>245</v>
      </c>
      <c r="H102" s="77">
        <f t="shared" si="4"/>
        <v>245</v>
      </c>
      <c r="I102" s="49"/>
      <c r="J102" s="49"/>
      <c r="K102" s="49"/>
      <c r="L102" s="78"/>
    </row>
    <row r="103" spans="1:15" ht="12.75" customHeight="1" x14ac:dyDescent="0.25">
      <c r="A103" s="80">
        <f t="shared" si="1"/>
        <v>8</v>
      </c>
      <c r="B103" s="42">
        <f t="shared" si="2"/>
        <v>2020</v>
      </c>
      <c r="C103" s="42" t="str">
        <f t="shared" si="3"/>
        <v>Rent: 1</v>
      </c>
      <c r="D103" s="43" t="str">
        <f>MOD(MONTH(D101), 12) &amp; "/28/" &amp; YEAR(D101)</f>
        <v>8/28/2020</v>
      </c>
      <c r="E103" s="44" t="str">
        <f>"Rent: "&amp;LOOKUP(A103-1, Months, TextMonths)&amp;" '"&amp;B103</f>
        <v>Rent: Aug '2020</v>
      </c>
      <c r="F103" s="45"/>
      <c r="G103" s="83">
        <f>1350/1.018</f>
        <v>1326.1296660117878</v>
      </c>
      <c r="H103" s="74">
        <f t="shared" si="4"/>
        <v>1571.1296660117878</v>
      </c>
      <c r="I103" s="33"/>
      <c r="J103" s="33"/>
      <c r="K103" s="33"/>
      <c r="L103" s="75"/>
    </row>
    <row r="104" spans="1:15" ht="12.75" customHeight="1" x14ac:dyDescent="0.25">
      <c r="A104" s="81">
        <f t="shared" si="1"/>
        <v>8</v>
      </c>
      <c r="B104" s="37">
        <f t="shared" si="2"/>
        <v>2020</v>
      </c>
      <c r="C104" s="37" t="str">
        <f t="shared" si="3"/>
        <v>Priv Tax: 1</v>
      </c>
      <c r="D104" s="26" t="str">
        <f>D103</f>
        <v>8/28/2020</v>
      </c>
      <c r="E104" s="39" t="str">
        <f>"Tax"</f>
        <v>Tax</v>
      </c>
      <c r="F104" s="36"/>
      <c r="G104" s="84">
        <f>G103*0.018</f>
        <v>23.870333988212177</v>
      </c>
      <c r="H104" s="38">
        <f t="shared" si="4"/>
        <v>1595</v>
      </c>
      <c r="I104" s="29"/>
      <c r="J104" s="29"/>
      <c r="K104" s="29"/>
      <c r="L104" s="71"/>
    </row>
    <row r="105" spans="1:15" ht="12.75" customHeight="1" x14ac:dyDescent="0.35">
      <c r="A105" s="81">
        <f t="shared" si="1"/>
        <v>9</v>
      </c>
      <c r="B105" s="37">
        <f t="shared" si="2"/>
        <v>2020</v>
      </c>
      <c r="C105" s="37" t="str">
        <f t="shared" si="3"/>
        <v>Income: 1</v>
      </c>
      <c r="D105" s="28">
        <v>44104</v>
      </c>
      <c r="E105" s="1" t="s">
        <v>51</v>
      </c>
      <c r="F105" s="36">
        <v>245</v>
      </c>
      <c r="G105" s="36"/>
      <c r="H105" s="38">
        <f t="shared" si="4"/>
        <v>1350</v>
      </c>
      <c r="I105" s="29"/>
      <c r="J105" s="29"/>
      <c r="K105" s="29"/>
      <c r="L105" s="71"/>
    </row>
    <row r="106" spans="1:15" ht="12.75" customHeight="1" x14ac:dyDescent="0.25">
      <c r="A106" s="81">
        <f t="shared" si="1"/>
        <v>9</v>
      </c>
      <c r="B106" s="37">
        <f t="shared" si="2"/>
        <v>2020</v>
      </c>
      <c r="C106" s="37" t="str">
        <f t="shared" si="3"/>
        <v>Rent: 1</v>
      </c>
      <c r="D106" s="40" t="str">
        <f>MOD(MONTH(D103)+1, 12) &amp; "/28/" &amp; YEAR(D103)</f>
        <v>9/28/2020</v>
      </c>
      <c r="E106" s="39" t="str">
        <f>"Rent: "&amp;LOOKUP(A106-1, Months, TextMonths)&amp;" '"&amp;B106</f>
        <v>Rent: Sep '2020</v>
      </c>
      <c r="F106" s="36"/>
      <c r="G106" s="84">
        <f>1350/1.018</f>
        <v>1326.1296660117878</v>
      </c>
      <c r="H106" s="38">
        <f t="shared" si="4"/>
        <v>2676.1296660117878</v>
      </c>
      <c r="I106" s="29"/>
      <c r="J106" s="29"/>
      <c r="K106" s="29"/>
      <c r="L106" s="71"/>
    </row>
    <row r="107" spans="1:15" ht="12.75" customHeight="1" x14ac:dyDescent="0.25">
      <c r="A107" s="81">
        <f t="shared" si="1"/>
        <v>9</v>
      </c>
      <c r="B107" s="37">
        <f t="shared" si="2"/>
        <v>2020</v>
      </c>
      <c r="C107" s="37" t="str">
        <f t="shared" si="3"/>
        <v>Priv Tax: 1</v>
      </c>
      <c r="D107" s="26" t="str">
        <f>D106</f>
        <v>9/28/2020</v>
      </c>
      <c r="E107" s="39" t="str">
        <f>"Tax"</f>
        <v>Tax</v>
      </c>
      <c r="F107" s="36"/>
      <c r="G107" s="84">
        <f>G106*0.018</f>
        <v>23.870333988212177</v>
      </c>
      <c r="H107" s="38">
        <f t="shared" si="4"/>
        <v>2700</v>
      </c>
      <c r="I107" s="29"/>
      <c r="J107" s="29"/>
      <c r="K107" s="29"/>
      <c r="L107" s="71"/>
    </row>
    <row r="108" spans="1:15" ht="12.75" customHeight="1" x14ac:dyDescent="0.25">
      <c r="A108" s="81">
        <f t="shared" si="1"/>
        <v>10</v>
      </c>
      <c r="B108" s="37">
        <f t="shared" si="2"/>
        <v>2020</v>
      </c>
      <c r="C108" s="37" t="str">
        <f t="shared" si="3"/>
        <v/>
      </c>
      <c r="D108" s="86">
        <v>44127</v>
      </c>
      <c r="E108" s="171" t="s">
        <v>52</v>
      </c>
      <c r="F108" s="36"/>
      <c r="G108" s="36">
        <v>300</v>
      </c>
      <c r="H108" s="38">
        <f t="shared" si="4"/>
        <v>3000</v>
      </c>
      <c r="I108" s="29"/>
      <c r="J108" s="29"/>
      <c r="K108" s="29"/>
      <c r="L108" s="71"/>
    </row>
    <row r="109" spans="1:15" ht="12.75" customHeight="1" x14ac:dyDescent="0.35">
      <c r="A109" s="81">
        <f t="shared" si="1"/>
        <v>10</v>
      </c>
      <c r="B109" s="37">
        <f t="shared" si="2"/>
        <v>2020</v>
      </c>
      <c r="C109" s="37" t="str">
        <f t="shared" si="3"/>
        <v>Income: 1</v>
      </c>
      <c r="D109" s="28">
        <v>44127</v>
      </c>
      <c r="E109" s="1" t="s">
        <v>51</v>
      </c>
      <c r="F109" s="36">
        <v>3000</v>
      </c>
      <c r="G109" s="36"/>
      <c r="H109" s="38">
        <f t="shared" si="4"/>
        <v>0</v>
      </c>
      <c r="I109" s="29"/>
      <c r="J109" s="29"/>
      <c r="K109" s="29"/>
      <c r="L109" s="71"/>
    </row>
    <row r="110" spans="1:15" ht="12.75" customHeight="1" x14ac:dyDescent="0.25">
      <c r="A110" s="81">
        <f t="shared" si="1"/>
        <v>10</v>
      </c>
      <c r="B110" s="37">
        <f t="shared" si="2"/>
        <v>2020</v>
      </c>
      <c r="C110" s="37" t="str">
        <f t="shared" si="3"/>
        <v>Rent: 1</v>
      </c>
      <c r="D110" s="40" t="str">
        <f>MOD(MONTH(D105)+1, 12) &amp; "/28/" &amp; YEAR(D105)</f>
        <v>10/28/2020</v>
      </c>
      <c r="E110" s="39" t="str">
        <f>"Rent: "&amp;LOOKUP(A110-1, Months, TextMonths)&amp;" '"&amp;B110</f>
        <v>Rent: Oct '2020</v>
      </c>
      <c r="F110" s="36"/>
      <c r="G110" s="84">
        <f>1350/1.018</f>
        <v>1326.1296660117878</v>
      </c>
      <c r="H110" s="38">
        <f t="shared" si="4"/>
        <v>1326.1296660117878</v>
      </c>
      <c r="I110" s="29"/>
      <c r="J110" s="29"/>
      <c r="K110" s="29"/>
      <c r="L110" s="71"/>
    </row>
    <row r="111" spans="1:15" ht="12.75" customHeight="1" x14ac:dyDescent="0.25">
      <c r="A111" s="81">
        <f t="shared" si="1"/>
        <v>10</v>
      </c>
      <c r="B111" s="37">
        <f t="shared" si="2"/>
        <v>2020</v>
      </c>
      <c r="C111" s="37" t="str">
        <f t="shared" si="3"/>
        <v>Priv Tax: 1</v>
      </c>
      <c r="D111" s="26" t="str">
        <f>D110</f>
        <v>10/28/2020</v>
      </c>
      <c r="E111" s="39" t="str">
        <f>"Tax"</f>
        <v>Tax</v>
      </c>
      <c r="F111" s="36"/>
      <c r="G111" s="84">
        <f>G110*0.018</f>
        <v>23.870333988212177</v>
      </c>
      <c r="H111" s="38">
        <f t="shared" si="4"/>
        <v>1350</v>
      </c>
      <c r="I111" s="29"/>
      <c r="J111" s="29"/>
      <c r="K111" s="29"/>
      <c r="L111" s="71"/>
    </row>
    <row r="112" spans="1:15" ht="12.75" customHeight="1" x14ac:dyDescent="0.35">
      <c r="A112" s="81">
        <f t="shared" si="1"/>
        <v>11</v>
      </c>
      <c r="B112" s="37">
        <f t="shared" si="2"/>
        <v>2020</v>
      </c>
      <c r="C112" s="37" t="str">
        <f t="shared" si="3"/>
        <v>Income: 1</v>
      </c>
      <c r="D112" s="28">
        <v>44141</v>
      </c>
      <c r="E112" s="1" t="s">
        <v>51</v>
      </c>
      <c r="F112" s="36">
        <v>1350</v>
      </c>
      <c r="G112" s="36"/>
      <c r="H112" s="38">
        <f t="shared" si="4"/>
        <v>0</v>
      </c>
      <c r="I112" s="29"/>
      <c r="J112" s="29"/>
      <c r="K112" s="29"/>
      <c r="L112" s="71"/>
    </row>
    <row r="113" spans="1:15" ht="12.75" customHeight="1" x14ac:dyDescent="0.25">
      <c r="A113" s="81">
        <f t="shared" si="1"/>
        <v>11</v>
      </c>
      <c r="B113" s="37">
        <f t="shared" si="2"/>
        <v>2020</v>
      </c>
      <c r="C113" s="37" t="str">
        <f t="shared" si="3"/>
        <v/>
      </c>
      <c r="D113" s="86">
        <v>44141</v>
      </c>
      <c r="E113" s="29" t="s">
        <v>82</v>
      </c>
      <c r="F113" s="36"/>
      <c r="G113" s="36"/>
      <c r="H113" s="38">
        <f t="shared" si="4"/>
        <v>0</v>
      </c>
      <c r="I113" s="29"/>
      <c r="J113" s="29"/>
      <c r="K113" s="29"/>
      <c r="L113" s="71"/>
    </row>
    <row r="114" spans="1:15" ht="12.75" customHeight="1" x14ac:dyDescent="0.25">
      <c r="A114" s="81">
        <f t="shared" si="1"/>
        <v>11</v>
      </c>
      <c r="B114" s="37">
        <f t="shared" si="2"/>
        <v>2020</v>
      </c>
      <c r="C114" s="37" t="str">
        <f t="shared" si="3"/>
        <v>Rent: 1</v>
      </c>
      <c r="D114" s="40" t="str">
        <f>MOD(MONTH(D109)+1, 12) &amp; "/28/" &amp; YEAR(D109)</f>
        <v>11/28/2020</v>
      </c>
      <c r="E114" s="39" t="str">
        <f>"Rent: "&amp;LOOKUP(A114-1, Months, TextMonths)&amp;" '"&amp;B114</f>
        <v>Rent: Nov '2020</v>
      </c>
      <c r="F114" s="36"/>
      <c r="G114" s="84">
        <f>1350/1.018</f>
        <v>1326.1296660117878</v>
      </c>
      <c r="H114" s="38">
        <f t="shared" si="4"/>
        <v>1326.1296660117878</v>
      </c>
      <c r="I114" s="29"/>
      <c r="J114" s="29"/>
      <c r="K114" s="29"/>
      <c r="L114" s="71"/>
    </row>
    <row r="115" spans="1:15" ht="12.75" customHeight="1" x14ac:dyDescent="0.25">
      <c r="A115" s="81">
        <f t="shared" si="1"/>
        <v>11</v>
      </c>
      <c r="B115" s="37">
        <f t="shared" si="2"/>
        <v>2020</v>
      </c>
      <c r="C115" s="37" t="str">
        <f t="shared" si="3"/>
        <v>Priv Tax: 1</v>
      </c>
      <c r="D115" s="26" t="str">
        <f>D114</f>
        <v>11/28/2020</v>
      </c>
      <c r="E115" s="39" t="str">
        <f>"Tax"</f>
        <v>Tax</v>
      </c>
      <c r="F115" s="36"/>
      <c r="G115" s="84">
        <f>G114*0.018</f>
        <v>23.870333988212177</v>
      </c>
      <c r="H115" s="38">
        <f t="shared" si="4"/>
        <v>1350</v>
      </c>
      <c r="I115" s="29"/>
      <c r="J115" s="29"/>
      <c r="K115" s="29"/>
      <c r="L115" s="71"/>
    </row>
    <row r="116" spans="1:15" ht="12.75" customHeight="1" x14ac:dyDescent="0.25">
      <c r="A116" s="81">
        <f t="shared" si="1"/>
        <v>12</v>
      </c>
      <c r="B116" s="37">
        <f t="shared" si="2"/>
        <v>2020</v>
      </c>
      <c r="C116" s="37" t="str">
        <f t="shared" si="3"/>
        <v/>
      </c>
      <c r="D116" s="86">
        <v>44169</v>
      </c>
      <c r="E116" s="29" t="s">
        <v>52</v>
      </c>
      <c r="F116" s="36"/>
      <c r="G116" s="36"/>
      <c r="H116" s="38">
        <f t="shared" si="4"/>
        <v>1350</v>
      </c>
      <c r="I116" s="29"/>
      <c r="J116" s="29"/>
      <c r="K116" s="29"/>
      <c r="L116" s="71"/>
    </row>
    <row r="117" spans="1:15" ht="12.75" customHeight="1" x14ac:dyDescent="0.25">
      <c r="A117" s="81">
        <f t="shared" si="1"/>
        <v>12</v>
      </c>
      <c r="B117" s="37">
        <f t="shared" si="2"/>
        <v>2020</v>
      </c>
      <c r="C117" s="37" t="str">
        <f t="shared" si="3"/>
        <v/>
      </c>
      <c r="D117" s="28">
        <v>44169</v>
      </c>
      <c r="E117" s="29"/>
      <c r="F117" s="36"/>
      <c r="G117" s="36"/>
      <c r="H117" s="38">
        <f t="shared" si="4"/>
        <v>1350</v>
      </c>
      <c r="I117" s="29"/>
      <c r="J117" s="29"/>
      <c r="K117" s="29"/>
      <c r="L117" s="71"/>
    </row>
    <row r="118" spans="1:15" ht="12.75" customHeight="1" x14ac:dyDescent="0.25">
      <c r="A118" s="81">
        <f t="shared" si="1"/>
        <v>12</v>
      </c>
      <c r="B118" s="37">
        <f t="shared" si="2"/>
        <v>2020</v>
      </c>
      <c r="C118" s="37" t="str">
        <f t="shared" si="3"/>
        <v/>
      </c>
      <c r="D118" s="86">
        <v>44169</v>
      </c>
      <c r="E118" s="29" t="s">
        <v>52</v>
      </c>
      <c r="F118" s="36"/>
      <c r="G118" s="36">
        <v>85</v>
      </c>
      <c r="H118" s="38">
        <f>H117+G118-F118</f>
        <v>1435</v>
      </c>
      <c r="I118" s="29"/>
      <c r="J118" s="29"/>
      <c r="K118" s="29"/>
      <c r="L118" s="71"/>
    </row>
    <row r="119" spans="1:15" ht="12.75" customHeight="1" x14ac:dyDescent="0.25">
      <c r="A119" s="81">
        <f t="shared" si="1"/>
        <v>12</v>
      </c>
      <c r="B119" s="37">
        <f t="shared" si="2"/>
        <v>2020</v>
      </c>
      <c r="C119" s="37" t="str">
        <f t="shared" si="3"/>
        <v/>
      </c>
      <c r="D119" s="28">
        <v>44175</v>
      </c>
      <c r="E119" s="29" t="s">
        <v>83</v>
      </c>
      <c r="F119" s="36">
        <v>2000</v>
      </c>
      <c r="G119" s="36"/>
      <c r="H119" s="38">
        <f t="shared" si="4"/>
        <v>-565</v>
      </c>
      <c r="I119" s="29"/>
      <c r="J119" s="29"/>
      <c r="K119" s="29"/>
      <c r="L119" s="71"/>
    </row>
    <row r="120" spans="1:15" ht="12.75" customHeight="1" x14ac:dyDescent="0.25">
      <c r="A120" s="81">
        <f t="shared" si="1"/>
        <v>12</v>
      </c>
      <c r="B120" s="37">
        <f t="shared" si="2"/>
        <v>2020</v>
      </c>
      <c r="C120" s="37" t="str">
        <f t="shared" si="3"/>
        <v/>
      </c>
      <c r="D120" s="28">
        <v>44175</v>
      </c>
      <c r="E120" s="29" t="s">
        <v>83</v>
      </c>
      <c r="F120" s="36">
        <v>1880</v>
      </c>
      <c r="G120" s="36"/>
      <c r="H120" s="38">
        <f t="shared" si="4"/>
        <v>-2445</v>
      </c>
      <c r="I120" s="29"/>
      <c r="J120" s="29"/>
      <c r="K120" s="29"/>
      <c r="L120" s="71"/>
      <c r="M120" s="32"/>
      <c r="N120" s="32"/>
    </row>
    <row r="121" spans="1:15" ht="12.75" customHeight="1" x14ac:dyDescent="0.25">
      <c r="A121" s="81">
        <f t="shared" si="1"/>
        <v>12</v>
      </c>
      <c r="B121" s="37">
        <f t="shared" si="2"/>
        <v>2021</v>
      </c>
      <c r="C121" s="37" t="str">
        <f t="shared" si="3"/>
        <v>Rent: 1</v>
      </c>
      <c r="D121" s="40">
        <v>44558</v>
      </c>
      <c r="E121" s="39" t="str">
        <f>"Rent: "&amp;LOOKUP(A121-1, Months, TextMonths)&amp;" '"&amp;B121</f>
        <v>Rent: Dec '2021</v>
      </c>
      <c r="F121" s="36"/>
      <c r="G121" s="84">
        <f>1350/1.018</f>
        <v>1326.1296660117878</v>
      </c>
      <c r="H121" s="38">
        <f t="shared" si="4"/>
        <v>-1118.8703339882122</v>
      </c>
      <c r="I121" s="29"/>
      <c r="J121" s="29"/>
      <c r="K121" s="29"/>
      <c r="L121" s="71"/>
      <c r="M121" s="36"/>
      <c r="N121" s="36"/>
      <c r="O121" s="30"/>
    </row>
    <row r="122" spans="1:15" ht="12.75" customHeight="1" thickBot="1" x14ac:dyDescent="0.3">
      <c r="A122" s="82">
        <f t="shared" si="1"/>
        <v>12</v>
      </c>
      <c r="B122" s="47">
        <f t="shared" si="2"/>
        <v>2021</v>
      </c>
      <c r="C122" s="47" t="str">
        <f t="shared" si="3"/>
        <v>Priv Tax: 1</v>
      </c>
      <c r="D122" s="90">
        <f>D121</f>
        <v>44558</v>
      </c>
      <c r="E122" s="91" t="str">
        <f>"Tax"</f>
        <v>Tax</v>
      </c>
      <c r="F122" s="50"/>
      <c r="G122" s="94">
        <f>G121*0.018</f>
        <v>23.870333988212177</v>
      </c>
      <c r="H122" s="77">
        <f t="shared" si="4"/>
        <v>-1095</v>
      </c>
      <c r="I122" s="49"/>
      <c r="J122" s="49"/>
      <c r="K122" s="49"/>
      <c r="L122" s="78"/>
    </row>
    <row r="123" spans="1:15" ht="12.75" customHeight="1" x14ac:dyDescent="0.25">
      <c r="A123" s="80">
        <f t="shared" si="1"/>
        <v>1</v>
      </c>
      <c r="B123" s="42">
        <f t="shared" si="2"/>
        <v>2021</v>
      </c>
      <c r="C123" s="42" t="str">
        <f t="shared" si="3"/>
        <v>Rent: 1</v>
      </c>
      <c r="D123" s="43" t="str">
        <f>MOD(MONTH(D120)+1, 12) &amp; "/28/" &amp; YEAR(D120)+1</f>
        <v>1/28/2021</v>
      </c>
      <c r="E123" s="44" t="str">
        <f>"Rent: "&amp;LOOKUP(A123-1, Months, TextMonths)&amp;" '"&amp;B123</f>
        <v>Rent: Jan '2021</v>
      </c>
      <c r="F123" s="45"/>
      <c r="G123" s="83">
        <f>1350/1.018</f>
        <v>1326.1296660117878</v>
      </c>
      <c r="H123" s="74">
        <f t="shared" si="4"/>
        <v>231.12966601178778</v>
      </c>
      <c r="I123" s="33"/>
      <c r="J123" s="33"/>
      <c r="K123" s="33"/>
      <c r="L123" s="75"/>
    </row>
    <row r="124" spans="1:15" ht="12.75" customHeight="1" x14ac:dyDescent="0.25">
      <c r="A124" s="81">
        <f t="shared" si="1"/>
        <v>1</v>
      </c>
      <c r="B124" s="37">
        <f t="shared" si="2"/>
        <v>2021</v>
      </c>
      <c r="C124" s="37" t="str">
        <f t="shared" si="3"/>
        <v>Priv Tax: 1</v>
      </c>
      <c r="D124" s="26" t="str">
        <f>D123</f>
        <v>1/28/2021</v>
      </c>
      <c r="E124" s="39" t="str">
        <f>"Tax"</f>
        <v>Tax</v>
      </c>
      <c r="F124" s="36"/>
      <c r="G124" s="84">
        <f>G123*0.018</f>
        <v>23.870333988212177</v>
      </c>
      <c r="H124" s="38">
        <f t="shared" si="4"/>
        <v>254.99999999999994</v>
      </c>
      <c r="I124" s="29"/>
      <c r="J124" s="29"/>
      <c r="K124" s="29"/>
      <c r="L124" s="71"/>
    </row>
    <row r="125" spans="1:15" ht="12.75" customHeight="1" x14ac:dyDescent="0.35">
      <c r="A125" s="81">
        <f t="shared" si="1"/>
        <v>2</v>
      </c>
      <c r="B125" s="37">
        <f t="shared" si="2"/>
        <v>2021</v>
      </c>
      <c r="C125" s="37" t="str">
        <f t="shared" si="3"/>
        <v>Income: 1</v>
      </c>
      <c r="D125" s="28">
        <v>44228</v>
      </c>
      <c r="E125" s="1" t="s">
        <v>51</v>
      </c>
      <c r="F125" s="36">
        <v>1350</v>
      </c>
      <c r="G125" s="36"/>
      <c r="H125" s="38">
        <f t="shared" si="4"/>
        <v>-1095</v>
      </c>
      <c r="I125" s="29"/>
      <c r="J125" s="29"/>
      <c r="K125" s="29"/>
      <c r="L125" s="71"/>
    </row>
    <row r="126" spans="1:15" ht="12.75" customHeight="1" x14ac:dyDescent="0.25">
      <c r="A126" s="81">
        <f t="shared" si="1"/>
        <v>2</v>
      </c>
      <c r="B126" s="37">
        <f t="shared" si="2"/>
        <v>2021</v>
      </c>
      <c r="C126" s="37" t="str">
        <f t="shared" si="3"/>
        <v>Rent: 1</v>
      </c>
      <c r="D126" s="40" t="str">
        <f>MOD(MONTH(D125), 12) &amp; "/28/" &amp; YEAR(D125)</f>
        <v>2/28/2021</v>
      </c>
      <c r="E126" s="39" t="str">
        <f>"Rent: "&amp;LOOKUP(A126-1, Months, TextMonths)&amp;" '"&amp;B126</f>
        <v>Rent: Feb '2021</v>
      </c>
      <c r="F126" s="36"/>
      <c r="G126" s="84">
        <f>1350/1.018</f>
        <v>1326.1296660117878</v>
      </c>
      <c r="H126" s="38">
        <f t="shared" si="4"/>
        <v>231.12966601178778</v>
      </c>
      <c r="I126" s="29"/>
      <c r="J126" s="29"/>
      <c r="K126" s="29"/>
      <c r="L126" s="71"/>
    </row>
    <row r="127" spans="1:15" ht="12.75" customHeight="1" x14ac:dyDescent="0.25">
      <c r="A127" s="81">
        <f t="shared" si="1"/>
        <v>2</v>
      </c>
      <c r="B127" s="37">
        <f t="shared" si="2"/>
        <v>2021</v>
      </c>
      <c r="C127" s="37" t="str">
        <f t="shared" si="3"/>
        <v>Priv Tax: 1</v>
      </c>
      <c r="D127" s="26" t="str">
        <f>D126</f>
        <v>2/28/2021</v>
      </c>
      <c r="E127" s="39" t="str">
        <f>"Tax"</f>
        <v>Tax</v>
      </c>
      <c r="F127" s="36"/>
      <c r="G127" s="84">
        <f>G126*0.018</f>
        <v>23.870333988212177</v>
      </c>
      <c r="H127" s="38">
        <f t="shared" si="4"/>
        <v>254.99999999999994</v>
      </c>
      <c r="I127" s="29"/>
      <c r="J127" s="29"/>
      <c r="K127" s="29"/>
      <c r="L127" s="71"/>
    </row>
    <row r="128" spans="1:15" ht="12.75" customHeight="1" x14ac:dyDescent="0.35">
      <c r="A128" s="81">
        <f t="shared" si="1"/>
        <v>3</v>
      </c>
      <c r="B128" s="37">
        <f t="shared" si="2"/>
        <v>2021</v>
      </c>
      <c r="C128" s="37" t="str">
        <f t="shared" si="3"/>
        <v>Income: 1</v>
      </c>
      <c r="D128" s="28">
        <v>44258</v>
      </c>
      <c r="E128" s="1" t="s">
        <v>51</v>
      </c>
      <c r="F128" s="36">
        <v>1350</v>
      </c>
      <c r="G128" s="36"/>
      <c r="H128" s="38">
        <f t="shared" si="4"/>
        <v>-1095</v>
      </c>
      <c r="I128" s="29"/>
      <c r="J128" s="29"/>
      <c r="K128" s="29"/>
      <c r="L128" s="71"/>
    </row>
    <row r="129" spans="1:14" ht="12.75" customHeight="1" x14ac:dyDescent="0.25">
      <c r="A129" s="81">
        <f t="shared" si="1"/>
        <v>3</v>
      </c>
      <c r="B129" s="37">
        <f t="shared" si="2"/>
        <v>2021</v>
      </c>
      <c r="C129" s="37" t="str">
        <f t="shared" si="3"/>
        <v>Rent: 1</v>
      </c>
      <c r="D129" s="40" t="str">
        <f>MOD(MONTH(D128), 12) &amp; "/28/" &amp; YEAR(D128)</f>
        <v>3/28/2021</v>
      </c>
      <c r="E129" s="39" t="str">
        <f>"Rent: "&amp;LOOKUP(A129-1, Months, TextMonths)&amp;" '"&amp;B129</f>
        <v>Rent: Mar '2021</v>
      </c>
      <c r="F129" s="36"/>
      <c r="G129" s="84">
        <f>1350/1.018</f>
        <v>1326.1296660117878</v>
      </c>
      <c r="H129" s="38">
        <f t="shared" si="4"/>
        <v>231.12966601178778</v>
      </c>
      <c r="I129" s="29"/>
      <c r="J129" s="29"/>
      <c r="K129" s="29"/>
      <c r="L129" s="71"/>
      <c r="M129" s="32"/>
      <c r="N129" s="32"/>
    </row>
    <row r="130" spans="1:14" ht="12.75" customHeight="1" x14ac:dyDescent="0.25">
      <c r="A130" s="81">
        <f t="shared" si="1"/>
        <v>3</v>
      </c>
      <c r="B130" s="37">
        <f t="shared" si="2"/>
        <v>2021</v>
      </c>
      <c r="C130" s="37" t="str">
        <f t="shared" si="3"/>
        <v>Priv Tax: 1</v>
      </c>
      <c r="D130" s="26" t="str">
        <f>D129</f>
        <v>3/28/2021</v>
      </c>
      <c r="E130" s="39" t="str">
        <f>"Tax"</f>
        <v>Tax</v>
      </c>
      <c r="F130" s="36"/>
      <c r="G130" s="84">
        <f>G129*0.018</f>
        <v>23.870333988212177</v>
      </c>
      <c r="H130" s="38">
        <f t="shared" si="4"/>
        <v>254.99999999999994</v>
      </c>
      <c r="I130" s="29"/>
      <c r="J130" s="29"/>
      <c r="K130" s="29"/>
      <c r="L130" s="71"/>
      <c r="M130" s="36"/>
      <c r="N130" s="36"/>
    </row>
    <row r="131" spans="1:14" ht="12.75" customHeight="1" thickBot="1" x14ac:dyDescent="0.4">
      <c r="A131" s="82">
        <f t="shared" si="1"/>
        <v>3</v>
      </c>
      <c r="B131" s="47">
        <f t="shared" si="2"/>
        <v>2021</v>
      </c>
      <c r="C131" s="47" t="str">
        <f t="shared" si="3"/>
        <v>Income: 1</v>
      </c>
      <c r="D131" s="48">
        <v>44286</v>
      </c>
      <c r="E131" s="76" t="s">
        <v>51</v>
      </c>
      <c r="F131" s="50">
        <v>1350</v>
      </c>
      <c r="G131" s="50"/>
      <c r="H131" s="77">
        <f t="shared" si="4"/>
        <v>-1095</v>
      </c>
      <c r="I131" s="49"/>
      <c r="J131" s="49"/>
      <c r="K131" s="49"/>
      <c r="L131" s="78"/>
    </row>
    <row r="132" spans="1:14" ht="12.75" customHeight="1" x14ac:dyDescent="0.25">
      <c r="A132" s="80">
        <f t="shared" si="1"/>
        <v>4</v>
      </c>
      <c r="B132" s="42">
        <f t="shared" si="2"/>
        <v>2021</v>
      </c>
      <c r="C132" s="42" t="str">
        <f t="shared" si="3"/>
        <v>Rent: 1</v>
      </c>
      <c r="D132" s="43" t="str">
        <f>MOD(MONTH(D131), 12)+1 &amp; "/28/" &amp; YEAR(D131)</f>
        <v>4/28/2021</v>
      </c>
      <c r="E132" s="44" t="str">
        <f>"Rent: "&amp;LOOKUP(A132-1, Months, TextMonths)&amp;" '"&amp;B132</f>
        <v>Rent: Apr '2021</v>
      </c>
      <c r="F132" s="45"/>
      <c r="G132" s="83">
        <v>1350</v>
      </c>
      <c r="H132" s="74">
        <f t="shared" si="4"/>
        <v>255</v>
      </c>
      <c r="I132" s="33"/>
      <c r="J132" s="33"/>
      <c r="K132" s="33"/>
      <c r="L132" s="75"/>
    </row>
    <row r="133" spans="1:14" ht="12.75" customHeight="1" x14ac:dyDescent="0.25">
      <c r="A133" s="81">
        <f t="shared" si="1"/>
        <v>4</v>
      </c>
      <c r="B133" s="37">
        <f t="shared" si="2"/>
        <v>2021</v>
      </c>
      <c r="C133" s="37" t="str">
        <f t="shared" si="3"/>
        <v>Priv Tax: 1</v>
      </c>
      <c r="D133" s="26" t="str">
        <f>D132</f>
        <v>4/28/2021</v>
      </c>
      <c r="E133" s="39" t="str">
        <f>"Tax"</f>
        <v>Tax</v>
      </c>
      <c r="F133" s="36"/>
      <c r="G133" s="84"/>
      <c r="H133" s="38">
        <f t="shared" si="4"/>
        <v>255</v>
      </c>
      <c r="I133" s="29"/>
      <c r="J133" s="29"/>
      <c r="K133" s="29"/>
      <c r="L133" s="71"/>
      <c r="M133" s="36"/>
      <c r="N133" s="36"/>
    </row>
    <row r="134" spans="1:14" ht="12.75" customHeight="1" x14ac:dyDescent="0.25">
      <c r="A134" s="81">
        <f t="shared" si="1"/>
        <v>5</v>
      </c>
      <c r="B134" s="37">
        <f t="shared" si="2"/>
        <v>2021</v>
      </c>
      <c r="C134" s="37" t="str">
        <f t="shared" si="3"/>
        <v>Income: 1</v>
      </c>
      <c r="D134" s="28">
        <v>44319</v>
      </c>
      <c r="E134" s="39" t="s">
        <v>51</v>
      </c>
      <c r="F134" s="36">
        <v>1350</v>
      </c>
      <c r="G134" s="84"/>
      <c r="H134" s="38">
        <f t="shared" si="4"/>
        <v>-1095</v>
      </c>
      <c r="I134" s="29"/>
      <c r="J134" s="29"/>
      <c r="K134" s="29"/>
      <c r="L134" s="71"/>
    </row>
    <row r="135" spans="1:14" ht="12.75" customHeight="1" x14ac:dyDescent="0.25">
      <c r="A135" s="81">
        <f t="shared" si="1"/>
        <v>5</v>
      </c>
      <c r="B135" s="37">
        <f t="shared" si="2"/>
        <v>2021</v>
      </c>
      <c r="C135" s="37" t="str">
        <f t="shared" si="3"/>
        <v>Rent: 1</v>
      </c>
      <c r="D135" s="40" t="str">
        <f>MOD(MONTH(D134), 12) &amp; "/28/" &amp; YEAR(D134)</f>
        <v>5/28/2021</v>
      </c>
      <c r="E135" s="39" t="str">
        <f>"Rent: "&amp;LOOKUP(A135-1, Months, TextMonths)&amp;" '"&amp;B135</f>
        <v>Rent: May '2021</v>
      </c>
      <c r="F135" s="36"/>
      <c r="G135" s="84">
        <v>1350</v>
      </c>
      <c r="H135" s="38">
        <f t="shared" si="4"/>
        <v>255</v>
      </c>
      <c r="I135" s="29"/>
      <c r="J135" s="29"/>
      <c r="K135" s="29"/>
      <c r="L135" s="71"/>
    </row>
    <row r="136" spans="1:14" ht="12.75" customHeight="1" x14ac:dyDescent="0.25">
      <c r="A136" s="81">
        <f t="shared" si="1"/>
        <v>5</v>
      </c>
      <c r="B136" s="37">
        <f t="shared" si="2"/>
        <v>2021</v>
      </c>
      <c r="C136" s="37" t="str">
        <f t="shared" si="3"/>
        <v>Priv Tax: 1</v>
      </c>
      <c r="D136" s="26" t="str">
        <f>D135</f>
        <v>5/28/2021</v>
      </c>
      <c r="E136" s="39" t="str">
        <f>"Tax"</f>
        <v>Tax</v>
      </c>
      <c r="F136" s="36"/>
      <c r="G136" s="84"/>
      <c r="H136" s="38">
        <f t="shared" si="4"/>
        <v>255</v>
      </c>
      <c r="I136" s="29"/>
      <c r="J136" s="29"/>
      <c r="K136" s="29"/>
      <c r="L136" s="71"/>
      <c r="M136" s="36"/>
      <c r="N136" s="36"/>
    </row>
    <row r="137" spans="1:14" ht="12.75" customHeight="1" x14ac:dyDescent="0.25">
      <c r="A137" s="81">
        <f t="shared" si="1"/>
        <v>6</v>
      </c>
      <c r="B137" s="37">
        <f t="shared" si="2"/>
        <v>2021</v>
      </c>
      <c r="C137" s="37" t="str">
        <f t="shared" si="3"/>
        <v>Income: 1</v>
      </c>
      <c r="D137" s="28">
        <v>44348</v>
      </c>
      <c r="E137" s="39" t="s">
        <v>51</v>
      </c>
      <c r="F137" s="36">
        <v>1350</v>
      </c>
      <c r="G137" s="84"/>
      <c r="H137" s="38">
        <f t="shared" si="4"/>
        <v>-1095</v>
      </c>
      <c r="I137" s="29"/>
      <c r="J137" s="29"/>
      <c r="K137" s="29"/>
      <c r="L137" s="71"/>
    </row>
    <row r="138" spans="1:14" ht="12.75" customHeight="1" x14ac:dyDescent="0.25">
      <c r="A138" s="81">
        <f t="shared" si="1"/>
        <v>6</v>
      </c>
      <c r="B138" s="37">
        <f t="shared" si="2"/>
        <v>2021</v>
      </c>
      <c r="C138" s="37" t="str">
        <f t="shared" si="3"/>
        <v>Rent: 1</v>
      </c>
      <c r="D138" s="40" t="str">
        <f>MOD(MONTH(D137), 12) &amp; "/28/" &amp; YEAR(D137)</f>
        <v>6/28/2021</v>
      </c>
      <c r="E138" s="39" t="str">
        <f>"Rent: "&amp;LOOKUP(A138-1, Months, TextMonths)&amp;" '"&amp;B138</f>
        <v>Rent: Jun '2021</v>
      </c>
      <c r="F138" s="36"/>
      <c r="G138" s="84">
        <v>1350</v>
      </c>
      <c r="H138" s="38">
        <f t="shared" si="4"/>
        <v>255</v>
      </c>
      <c r="I138" s="29"/>
      <c r="J138" s="29"/>
      <c r="K138" s="29"/>
      <c r="L138" s="71"/>
      <c r="M138" s="32"/>
      <c r="N138" s="32"/>
    </row>
    <row r="139" spans="1:14" ht="12.75" customHeight="1" x14ac:dyDescent="0.25">
      <c r="A139" s="81">
        <f t="shared" si="1"/>
        <v>6</v>
      </c>
      <c r="B139" s="37">
        <f t="shared" si="2"/>
        <v>2021</v>
      </c>
      <c r="C139" s="37" t="str">
        <f t="shared" si="3"/>
        <v>Priv Tax: 1</v>
      </c>
      <c r="D139" s="26" t="str">
        <f>D138</f>
        <v>6/28/2021</v>
      </c>
      <c r="E139" s="39" t="str">
        <f>"Tax"</f>
        <v>Tax</v>
      </c>
      <c r="F139" s="36"/>
      <c r="G139" s="84">
        <v>0</v>
      </c>
      <c r="H139" s="38">
        <f t="shared" si="4"/>
        <v>255</v>
      </c>
      <c r="I139" s="29"/>
      <c r="J139" s="29"/>
      <c r="K139" s="29"/>
      <c r="L139" s="71"/>
      <c r="M139" s="36"/>
      <c r="N139" s="36"/>
    </row>
    <row r="140" spans="1:14" ht="12.75" customHeight="1" thickBot="1" x14ac:dyDescent="0.3">
      <c r="A140" s="82">
        <f t="shared" si="1"/>
        <v>7</v>
      </c>
      <c r="B140" s="47">
        <f t="shared" si="2"/>
        <v>2021</v>
      </c>
      <c r="C140" s="47" t="str">
        <f t="shared" si="3"/>
        <v>Income: 1</v>
      </c>
      <c r="D140" s="48">
        <v>44378</v>
      </c>
      <c r="E140" s="91" t="s">
        <v>51</v>
      </c>
      <c r="F140" s="50">
        <v>1350</v>
      </c>
      <c r="G140" s="94"/>
      <c r="H140" s="77">
        <f t="shared" si="4"/>
        <v>-1095</v>
      </c>
      <c r="I140" s="49"/>
      <c r="J140" s="49"/>
      <c r="K140" s="49"/>
      <c r="L140" s="78"/>
    </row>
    <row r="141" spans="1:14" ht="12.75" customHeight="1" x14ac:dyDescent="0.25">
      <c r="A141" s="80">
        <f t="shared" si="1"/>
        <v>7</v>
      </c>
      <c r="B141" s="42">
        <f t="shared" si="2"/>
        <v>2021</v>
      </c>
      <c r="C141" s="42" t="str">
        <f t="shared" si="3"/>
        <v>Rent: 1</v>
      </c>
      <c r="D141" s="43" t="str">
        <f>MOD(MONTH(D140), 12) &amp; "/28/" &amp; YEAR(D140)</f>
        <v>7/28/2021</v>
      </c>
      <c r="E141" s="44" t="str">
        <f>"Rent: "&amp;LOOKUP(A141-1, Months, TextMonths)&amp;" '"&amp;B141</f>
        <v>Rent: Jul '2021</v>
      </c>
      <c r="F141" s="45"/>
      <c r="G141" s="83">
        <v>1350</v>
      </c>
      <c r="H141" s="74">
        <f t="shared" si="4"/>
        <v>255</v>
      </c>
      <c r="I141" s="33"/>
      <c r="J141" s="33"/>
      <c r="K141" s="33"/>
      <c r="L141" s="75"/>
    </row>
    <row r="142" spans="1:14" ht="12.75" customHeight="1" x14ac:dyDescent="0.25">
      <c r="A142" s="81">
        <f t="shared" si="1"/>
        <v>7</v>
      </c>
      <c r="B142" s="37">
        <f t="shared" si="2"/>
        <v>2021</v>
      </c>
      <c r="C142" s="37" t="str">
        <f t="shared" si="3"/>
        <v>Priv Tax: 1</v>
      </c>
      <c r="D142" s="26" t="str">
        <f>D141</f>
        <v>7/28/2021</v>
      </c>
      <c r="E142" s="39" t="str">
        <f>"Tax"</f>
        <v>Tax</v>
      </c>
      <c r="F142" s="36"/>
      <c r="G142" s="84"/>
      <c r="H142" s="38">
        <f t="shared" si="4"/>
        <v>255</v>
      </c>
      <c r="I142" s="29"/>
      <c r="J142" s="29"/>
      <c r="K142" s="29"/>
      <c r="L142" s="71"/>
    </row>
    <row r="143" spans="1:14" ht="12.75" customHeight="1" x14ac:dyDescent="0.25">
      <c r="A143" s="81">
        <f t="shared" si="1"/>
        <v>1</v>
      </c>
      <c r="B143" s="37">
        <f t="shared" si="2"/>
        <v>1900</v>
      </c>
      <c r="C143" s="37" t="str">
        <f t="shared" si="3"/>
        <v>Income: 1</v>
      </c>
      <c r="D143" s="28"/>
      <c r="E143" s="29" t="s">
        <v>51</v>
      </c>
      <c r="F143" s="36">
        <v>255</v>
      </c>
      <c r="G143" s="84"/>
      <c r="H143" s="38">
        <f t="shared" si="4"/>
        <v>0</v>
      </c>
      <c r="I143" s="29"/>
      <c r="J143" s="29"/>
      <c r="K143" s="29"/>
      <c r="L143" s="71"/>
      <c r="M143" s="30"/>
    </row>
    <row r="144" spans="1:14" ht="12.75" customHeight="1" x14ac:dyDescent="0.25">
      <c r="A144" s="81">
        <f t="shared" si="1"/>
        <v>8</v>
      </c>
      <c r="B144" s="37">
        <f t="shared" si="2"/>
        <v>2021</v>
      </c>
      <c r="C144" s="37" t="str">
        <f t="shared" si="3"/>
        <v>Rent: 1</v>
      </c>
      <c r="D144" s="40">
        <v>44436</v>
      </c>
      <c r="E144" s="39" t="str">
        <f>"Rent: "&amp;LOOKUP(A144-1, Months, TextMonths)&amp;" '"&amp;B144</f>
        <v>Rent: Aug '2021</v>
      </c>
      <c r="F144" s="36"/>
      <c r="G144" s="84">
        <v>1350</v>
      </c>
      <c r="H144" s="38">
        <f t="shared" si="4"/>
        <v>1350</v>
      </c>
      <c r="I144" s="29"/>
      <c r="J144" s="29"/>
      <c r="K144" s="29"/>
      <c r="L144" s="71"/>
      <c r="M144" s="30"/>
    </row>
    <row r="145" spans="1:14" ht="12.75" customHeight="1" x14ac:dyDescent="0.25">
      <c r="A145" s="81">
        <f t="shared" si="1"/>
        <v>8</v>
      </c>
      <c r="B145" s="37">
        <f t="shared" si="2"/>
        <v>2021</v>
      </c>
      <c r="C145" s="37" t="str">
        <f t="shared" si="3"/>
        <v>Priv Tax: 1</v>
      </c>
      <c r="D145" s="26">
        <f>D144</f>
        <v>44436</v>
      </c>
      <c r="E145" s="39" t="str">
        <f>"Tax"</f>
        <v>Tax</v>
      </c>
      <c r="F145" s="36"/>
      <c r="G145" s="84"/>
      <c r="H145" s="38">
        <f t="shared" si="4"/>
        <v>1350</v>
      </c>
      <c r="I145" s="29"/>
      <c r="J145" s="29"/>
      <c r="K145" s="29"/>
      <c r="L145" s="71"/>
      <c r="M145" s="36"/>
      <c r="N145" s="36"/>
    </row>
    <row r="146" spans="1:14" ht="12.75" customHeight="1" x14ac:dyDescent="0.25">
      <c r="A146" s="81">
        <f t="shared" si="1"/>
        <v>1</v>
      </c>
      <c r="B146" s="37">
        <f t="shared" si="2"/>
        <v>1900</v>
      </c>
      <c r="C146" s="37" t="str">
        <f t="shared" si="3"/>
        <v>Income: 1</v>
      </c>
      <c r="D146" s="28"/>
      <c r="E146" s="29" t="s">
        <v>51</v>
      </c>
      <c r="F146" s="36"/>
      <c r="G146" s="84"/>
      <c r="H146" s="38">
        <f t="shared" si="4"/>
        <v>1350</v>
      </c>
      <c r="I146" s="29"/>
      <c r="J146" s="29"/>
      <c r="K146" s="29"/>
      <c r="L146" s="71"/>
    </row>
    <row r="147" spans="1:14" ht="12.75" customHeight="1" x14ac:dyDescent="0.25">
      <c r="A147" s="81">
        <f t="shared" si="1"/>
        <v>9</v>
      </c>
      <c r="B147" s="37">
        <f t="shared" si="2"/>
        <v>2021</v>
      </c>
      <c r="C147" s="37" t="str">
        <f t="shared" si="3"/>
        <v>Rent: 1</v>
      </c>
      <c r="D147" s="40">
        <v>44467</v>
      </c>
      <c r="E147" s="39" t="str">
        <f>"Rent: "&amp;LOOKUP(A147-1, Months, TextMonths)&amp;" '"&amp;B147</f>
        <v>Rent: Sep '2021</v>
      </c>
      <c r="F147" s="36"/>
      <c r="G147" s="84">
        <v>1600</v>
      </c>
      <c r="H147" s="38">
        <f t="shared" si="4"/>
        <v>2950</v>
      </c>
      <c r="I147" s="29"/>
      <c r="J147" s="29"/>
      <c r="K147" s="29"/>
      <c r="L147" s="71"/>
      <c r="M147" s="32"/>
      <c r="N147" s="32"/>
    </row>
    <row r="148" spans="1:14" ht="12.75" customHeight="1" x14ac:dyDescent="0.25">
      <c r="A148" s="81">
        <f t="shared" si="1"/>
        <v>9</v>
      </c>
      <c r="B148" s="37">
        <f t="shared" si="2"/>
        <v>2021</v>
      </c>
      <c r="C148" s="37" t="str">
        <f t="shared" si="3"/>
        <v>Priv Tax: 1</v>
      </c>
      <c r="D148" s="26">
        <f>D147</f>
        <v>44467</v>
      </c>
      <c r="E148" s="39" t="str">
        <f>"Tax"</f>
        <v>Tax</v>
      </c>
      <c r="F148" s="36"/>
      <c r="G148" s="84"/>
      <c r="H148" s="38">
        <f t="shared" si="4"/>
        <v>2950</v>
      </c>
      <c r="I148" s="29"/>
      <c r="J148" s="29"/>
      <c r="K148" s="29"/>
      <c r="L148" s="71"/>
      <c r="M148" s="36"/>
      <c r="N148" s="36"/>
    </row>
    <row r="149" spans="1:14" ht="12.75" customHeight="1" thickBot="1" x14ac:dyDescent="0.3">
      <c r="A149" s="82">
        <f t="shared" si="1"/>
        <v>1</v>
      </c>
      <c r="B149" s="47">
        <f t="shared" si="2"/>
        <v>1900</v>
      </c>
      <c r="C149" s="47" t="str">
        <f t="shared" si="3"/>
        <v>Income: 1</v>
      </c>
      <c r="D149" s="48"/>
      <c r="E149" s="49" t="s">
        <v>51</v>
      </c>
      <c r="F149" s="50"/>
      <c r="G149" s="94"/>
      <c r="H149" s="77">
        <f t="shared" si="4"/>
        <v>2950</v>
      </c>
      <c r="I149" s="49"/>
      <c r="J149" s="49"/>
      <c r="K149" s="49"/>
      <c r="L149" s="78"/>
    </row>
    <row r="150" spans="1:14" ht="12.75" customHeight="1" x14ac:dyDescent="0.25">
      <c r="A150" s="80">
        <f t="shared" si="1"/>
        <v>10</v>
      </c>
      <c r="B150" s="42">
        <f t="shared" si="2"/>
        <v>2021</v>
      </c>
      <c r="C150" s="42" t="str">
        <f t="shared" si="3"/>
        <v>Rent: 1</v>
      </c>
      <c r="D150" s="43">
        <v>44497</v>
      </c>
      <c r="E150" s="44" t="str">
        <f>"Rent: "&amp;LOOKUP(A150-1, Months, TextMonths)&amp;" '"&amp;B150</f>
        <v>Rent: Oct '2021</v>
      </c>
      <c r="F150" s="45"/>
      <c r="G150" s="83">
        <v>1600</v>
      </c>
      <c r="H150" s="74">
        <f t="shared" si="4"/>
        <v>4550</v>
      </c>
      <c r="I150" s="33"/>
      <c r="J150" s="33"/>
      <c r="K150" s="33"/>
      <c r="L150" s="75"/>
    </row>
    <row r="151" spans="1:14" ht="12.75" customHeight="1" x14ac:dyDescent="0.25">
      <c r="A151" s="81">
        <f t="shared" si="1"/>
        <v>10</v>
      </c>
      <c r="B151" s="37">
        <f t="shared" si="2"/>
        <v>2021</v>
      </c>
      <c r="C151" s="37" t="str">
        <f t="shared" si="3"/>
        <v>Priv Tax: 1</v>
      </c>
      <c r="D151" s="26">
        <f>D150</f>
        <v>44497</v>
      </c>
      <c r="E151" s="39" t="str">
        <f>"Tax"</f>
        <v>Tax</v>
      </c>
      <c r="F151" s="36"/>
      <c r="G151" s="84"/>
      <c r="H151" s="38">
        <f t="shared" si="4"/>
        <v>4550</v>
      </c>
      <c r="I151" s="29"/>
      <c r="J151" s="29"/>
      <c r="K151" s="29"/>
      <c r="L151" s="71"/>
    </row>
    <row r="152" spans="1:14" ht="12.75" customHeight="1" x14ac:dyDescent="0.25">
      <c r="A152" s="81">
        <f t="shared" si="1"/>
        <v>10</v>
      </c>
      <c r="B152" s="37">
        <f t="shared" si="2"/>
        <v>2021</v>
      </c>
      <c r="C152" s="37" t="str">
        <f t="shared" si="3"/>
        <v>Income: 1</v>
      </c>
      <c r="D152" s="28">
        <v>44490</v>
      </c>
      <c r="E152" s="29" t="s">
        <v>51</v>
      </c>
      <c r="F152" s="36">
        <v>5400</v>
      </c>
      <c r="G152" s="36"/>
      <c r="H152" s="38">
        <f t="shared" si="4"/>
        <v>-850</v>
      </c>
      <c r="I152" s="29"/>
      <c r="J152" s="29"/>
      <c r="K152" s="29"/>
      <c r="L152" s="71"/>
    </row>
    <row r="153" spans="1:14" ht="12.75" customHeight="1" x14ac:dyDescent="0.25">
      <c r="A153" s="81">
        <f t="shared" si="1"/>
        <v>10</v>
      </c>
      <c r="B153" s="37">
        <f t="shared" si="2"/>
        <v>2021</v>
      </c>
      <c r="C153" s="37" t="str">
        <f t="shared" si="3"/>
        <v>Income: 1</v>
      </c>
      <c r="D153" s="28">
        <v>44484</v>
      </c>
      <c r="E153" s="29" t="s">
        <v>51</v>
      </c>
      <c r="F153" s="36">
        <v>500</v>
      </c>
      <c r="G153" s="36"/>
      <c r="H153" s="38">
        <f t="shared" si="4"/>
        <v>-1350</v>
      </c>
      <c r="I153" s="29"/>
      <c r="J153" s="29"/>
      <c r="K153" s="29"/>
      <c r="L153" s="71"/>
    </row>
    <row r="154" spans="1:14" ht="12.75" customHeight="1" x14ac:dyDescent="0.25">
      <c r="A154" s="81">
        <f t="shared" si="1"/>
        <v>11</v>
      </c>
      <c r="B154" s="37">
        <f t="shared" si="2"/>
        <v>2021</v>
      </c>
      <c r="C154" s="37" t="str">
        <f t="shared" si="3"/>
        <v>Rent: 1</v>
      </c>
      <c r="D154" s="40">
        <v>44528</v>
      </c>
      <c r="E154" s="39" t="str">
        <f>"Rent: "&amp;LOOKUP(A154-1, Months, TextMonths)&amp;" '"&amp;B154</f>
        <v>Rent: Nov '2021</v>
      </c>
      <c r="F154" s="36"/>
      <c r="G154" s="84">
        <v>1600</v>
      </c>
      <c r="H154" s="38">
        <f t="shared" si="4"/>
        <v>250</v>
      </c>
      <c r="I154" s="29"/>
      <c r="J154" s="29"/>
      <c r="K154" s="29"/>
      <c r="L154" s="71"/>
      <c r="M154" s="32"/>
      <c r="N154" s="32"/>
    </row>
    <row r="155" spans="1:14" ht="12.75" customHeight="1" thickBot="1" x14ac:dyDescent="0.3">
      <c r="A155" s="82">
        <f t="shared" si="1"/>
        <v>12</v>
      </c>
      <c r="B155" s="47">
        <f t="shared" si="2"/>
        <v>2021</v>
      </c>
      <c r="C155" s="47" t="str">
        <f t="shared" si="3"/>
        <v>Income: 1</v>
      </c>
      <c r="D155" s="48">
        <v>44536</v>
      </c>
      <c r="E155" s="49" t="s">
        <v>51</v>
      </c>
      <c r="F155" s="50">
        <v>1675</v>
      </c>
      <c r="G155" s="50"/>
      <c r="H155" s="77">
        <f t="shared" si="4"/>
        <v>-1425</v>
      </c>
      <c r="I155" s="49"/>
      <c r="J155" s="49"/>
      <c r="K155" s="49"/>
      <c r="L155" s="78"/>
      <c r="M155" s="36"/>
      <c r="N155" s="36"/>
    </row>
    <row r="156" spans="1:14" ht="12.75" customHeight="1" x14ac:dyDescent="0.25">
      <c r="A156" s="80">
        <f t="shared" si="1"/>
        <v>12</v>
      </c>
      <c r="B156" s="42">
        <f t="shared" si="2"/>
        <v>2021</v>
      </c>
      <c r="C156" s="42" t="str">
        <f t="shared" si="3"/>
        <v>Rent: 1</v>
      </c>
      <c r="D156" s="43">
        <v>44558</v>
      </c>
      <c r="E156" s="44" t="str">
        <f>"Rent: "&amp;LOOKUP(A156-1, Months, TextMonths)&amp;" '"&amp;B156</f>
        <v>Rent: Dec '2021</v>
      </c>
      <c r="F156" s="45"/>
      <c r="G156" s="83">
        <v>1600</v>
      </c>
      <c r="H156" s="74">
        <f t="shared" si="4"/>
        <v>175</v>
      </c>
      <c r="I156" s="33"/>
      <c r="J156" s="33"/>
      <c r="K156" s="33"/>
      <c r="L156" s="75"/>
    </row>
    <row r="157" spans="1:14" ht="12.75" customHeight="1" x14ac:dyDescent="0.25">
      <c r="A157" s="81">
        <f t="shared" si="1"/>
        <v>12</v>
      </c>
      <c r="B157" s="37">
        <f t="shared" si="2"/>
        <v>2021</v>
      </c>
      <c r="C157" s="37" t="str">
        <f t="shared" si="3"/>
        <v>Priv Tax: 1</v>
      </c>
      <c r="D157" s="26">
        <f>D156</f>
        <v>44558</v>
      </c>
      <c r="E157" s="39" t="str">
        <f>"Tax"</f>
        <v>Tax</v>
      </c>
      <c r="F157" s="36"/>
      <c r="G157" s="84"/>
      <c r="H157" s="38">
        <f t="shared" si="4"/>
        <v>175</v>
      </c>
      <c r="I157" s="29"/>
      <c r="J157" s="29"/>
      <c r="K157" s="29"/>
      <c r="L157" s="71"/>
    </row>
    <row r="158" spans="1:14" ht="12.75" customHeight="1" x14ac:dyDescent="0.25">
      <c r="A158" s="81">
        <f t="shared" si="1"/>
        <v>1</v>
      </c>
      <c r="B158" s="37">
        <f t="shared" si="2"/>
        <v>2022</v>
      </c>
      <c r="C158" s="37" t="str">
        <f t="shared" si="3"/>
        <v>Income: 1</v>
      </c>
      <c r="D158" s="28">
        <v>44575</v>
      </c>
      <c r="E158" s="29" t="s">
        <v>51</v>
      </c>
      <c r="F158" s="36">
        <v>1880</v>
      </c>
      <c r="G158" s="36"/>
      <c r="H158" s="38">
        <f t="shared" si="4"/>
        <v>-1705</v>
      </c>
      <c r="I158" s="29"/>
      <c r="J158" s="29"/>
      <c r="K158" s="29"/>
      <c r="L158" s="71"/>
    </row>
    <row r="159" spans="1:14" ht="12.75" customHeight="1" x14ac:dyDescent="0.25">
      <c r="A159" s="81">
        <f t="shared" si="1"/>
        <v>1</v>
      </c>
      <c r="B159" s="37">
        <f t="shared" si="2"/>
        <v>2022</v>
      </c>
      <c r="C159" s="37" t="str">
        <f t="shared" si="3"/>
        <v/>
      </c>
      <c r="D159" s="28">
        <v>44564</v>
      </c>
      <c r="E159" s="29" t="s">
        <v>52</v>
      </c>
      <c r="F159" s="36"/>
      <c r="G159" s="36">
        <v>355</v>
      </c>
      <c r="H159" s="38">
        <f t="shared" si="4"/>
        <v>-1350</v>
      </c>
      <c r="I159" s="29"/>
      <c r="J159" s="29"/>
      <c r="K159" s="29"/>
      <c r="L159" s="71"/>
    </row>
    <row r="160" spans="1:14" ht="12.75" customHeight="1" x14ac:dyDescent="0.25">
      <c r="A160" s="81">
        <f t="shared" si="1"/>
        <v>1</v>
      </c>
      <c r="B160" s="37">
        <f t="shared" si="2"/>
        <v>2022</v>
      </c>
      <c r="C160" s="37" t="str">
        <f t="shared" si="3"/>
        <v>Rent: 1</v>
      </c>
      <c r="D160" s="40">
        <v>44589</v>
      </c>
      <c r="E160" s="39" t="str">
        <f>"Rent: "&amp;LOOKUP(A160-1, Months, TextMonths)&amp;" '"&amp;B160</f>
        <v>Rent: Jan '2022</v>
      </c>
      <c r="F160" s="36"/>
      <c r="G160" s="84">
        <v>1600</v>
      </c>
      <c r="H160" s="38">
        <f t="shared" si="4"/>
        <v>250</v>
      </c>
      <c r="I160" s="29"/>
      <c r="J160" s="29"/>
      <c r="K160" s="29"/>
      <c r="L160" s="71"/>
    </row>
    <row r="161" spans="1:26" ht="12.75" customHeight="1" x14ac:dyDescent="0.25">
      <c r="A161" s="81">
        <f t="shared" si="1"/>
        <v>2</v>
      </c>
      <c r="B161" s="37">
        <f t="shared" si="2"/>
        <v>2022</v>
      </c>
      <c r="C161" s="37" t="str">
        <f t="shared" si="3"/>
        <v>Income: 1</v>
      </c>
      <c r="D161" s="28">
        <v>44603</v>
      </c>
      <c r="E161" s="29" t="s">
        <v>51</v>
      </c>
      <c r="F161" s="36">
        <v>1850</v>
      </c>
      <c r="G161" s="36"/>
      <c r="H161" s="38">
        <f t="shared" si="4"/>
        <v>-1600</v>
      </c>
      <c r="I161" s="29"/>
      <c r="J161" s="29"/>
      <c r="K161" s="29"/>
      <c r="L161" s="71"/>
    </row>
    <row r="162" spans="1:26" ht="12.75" customHeight="1" x14ac:dyDescent="0.25">
      <c r="A162" s="81">
        <f t="shared" si="1"/>
        <v>1</v>
      </c>
      <c r="B162" s="37">
        <f t="shared" si="2"/>
        <v>2022</v>
      </c>
      <c r="C162" s="37" t="str">
        <f t="shared" si="3"/>
        <v/>
      </c>
      <c r="D162" s="28">
        <v>44564</v>
      </c>
      <c r="E162" s="29" t="s">
        <v>52</v>
      </c>
      <c r="F162" s="36"/>
      <c r="G162" s="36">
        <v>250</v>
      </c>
      <c r="H162" s="38">
        <f t="shared" si="4"/>
        <v>-1350</v>
      </c>
      <c r="I162" s="29"/>
      <c r="J162" s="29"/>
      <c r="K162" s="29"/>
      <c r="L162" s="71"/>
    </row>
    <row r="163" spans="1:26" ht="12.75" customHeight="1" x14ac:dyDescent="0.25">
      <c r="A163" s="81">
        <f t="shared" si="1"/>
        <v>2</v>
      </c>
      <c r="B163" s="37">
        <f t="shared" si="2"/>
        <v>2022</v>
      </c>
      <c r="C163" s="37" t="str">
        <f t="shared" si="3"/>
        <v>Rent: 1</v>
      </c>
      <c r="D163" s="40">
        <v>44620</v>
      </c>
      <c r="E163" s="39" t="str">
        <f>"Rent: "&amp;LOOKUP(A163-1, Months, TextMonths)&amp;" '"&amp;B163</f>
        <v>Rent: Feb '2022</v>
      </c>
      <c r="F163" s="36"/>
      <c r="G163" s="84">
        <v>1725</v>
      </c>
      <c r="H163" s="38">
        <f t="shared" si="4"/>
        <v>375</v>
      </c>
      <c r="I163" s="29"/>
      <c r="J163" s="29"/>
      <c r="K163" s="29"/>
      <c r="L163" s="71"/>
      <c r="M163" s="32"/>
      <c r="N163" s="32"/>
    </row>
    <row r="164" spans="1:26" ht="12.75" customHeight="1" thickBot="1" x14ac:dyDescent="0.3">
      <c r="A164" s="81">
        <f t="shared" si="1"/>
        <v>3</v>
      </c>
      <c r="B164" s="100">
        <f t="shared" si="2"/>
        <v>2022</v>
      </c>
      <c r="C164" s="100" t="str">
        <f t="shared" si="3"/>
        <v>Income: 1</v>
      </c>
      <c r="D164" s="101">
        <v>44623</v>
      </c>
      <c r="E164" s="102" t="s">
        <v>51</v>
      </c>
      <c r="F164" s="103">
        <v>1725</v>
      </c>
      <c r="G164" s="104"/>
      <c r="H164" s="105">
        <f t="shared" si="4"/>
        <v>-1350</v>
      </c>
      <c r="I164" s="102"/>
      <c r="J164" s="102"/>
      <c r="K164" s="102"/>
      <c r="L164" s="106"/>
      <c r="M164" s="36"/>
      <c r="N164" s="36"/>
    </row>
    <row r="165" spans="1:26" ht="12.75" customHeight="1" x14ac:dyDescent="0.25">
      <c r="A165" s="107">
        <f t="shared" si="1"/>
        <v>3</v>
      </c>
      <c r="B165" s="108">
        <f t="shared" si="2"/>
        <v>2022</v>
      </c>
      <c r="C165" s="108" t="str">
        <f t="shared" si="3"/>
        <v>Rent: 1</v>
      </c>
      <c r="D165" s="109" t="str">
        <f>MONTH(D164) &amp; "/28/" &amp; YEAR(D164)</f>
        <v>3/28/2022</v>
      </c>
      <c r="E165" s="110" t="str">
        <f>"Rent: "&amp;LOOKUP(A165-1, Months, TextMonths)&amp;" '"&amp;B165</f>
        <v>Rent: Mar '2022</v>
      </c>
      <c r="F165" s="111"/>
      <c r="G165" s="112">
        <v>1725</v>
      </c>
      <c r="H165" s="113">
        <f t="shared" si="4"/>
        <v>375</v>
      </c>
      <c r="I165" s="114"/>
      <c r="J165" s="114"/>
      <c r="K165" s="114"/>
      <c r="L165" s="115"/>
    </row>
    <row r="166" spans="1:26" ht="12.75" customHeight="1" x14ac:dyDescent="0.25">
      <c r="A166" s="116">
        <f t="shared" si="1"/>
        <v>4</v>
      </c>
      <c r="B166" s="100">
        <f t="shared" si="2"/>
        <v>2022</v>
      </c>
      <c r="C166" s="100" t="str">
        <f t="shared" si="3"/>
        <v>Income: 1</v>
      </c>
      <c r="D166" s="101">
        <v>44652</v>
      </c>
      <c r="E166" s="102" t="s">
        <v>51</v>
      </c>
      <c r="F166" s="103">
        <v>1725</v>
      </c>
      <c r="G166" s="104"/>
      <c r="H166" s="105">
        <f t="shared" si="4"/>
        <v>-1350</v>
      </c>
      <c r="I166" s="102"/>
      <c r="J166" s="102"/>
      <c r="K166" s="102"/>
      <c r="L166" s="117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2.75" customHeight="1" x14ac:dyDescent="0.25">
      <c r="A167" s="116">
        <f t="shared" si="1"/>
        <v>4</v>
      </c>
      <c r="B167" s="100">
        <f t="shared" si="2"/>
        <v>2022</v>
      </c>
      <c r="C167" s="100" t="str">
        <f t="shared" si="3"/>
        <v>Rent: 1</v>
      </c>
      <c r="D167" s="118" t="str">
        <f>MONTH(D164)+1 &amp; "/28/" &amp; YEAR(D164)</f>
        <v>4/28/2022</v>
      </c>
      <c r="E167" s="119" t="str">
        <f>"Rent: "&amp;LOOKUP(A167-1, Months, TextMonths)&amp;" '"&amp;B167</f>
        <v>Rent: Apr '2022</v>
      </c>
      <c r="F167" s="103"/>
      <c r="G167" s="104">
        <v>1725</v>
      </c>
      <c r="H167" s="105">
        <f t="shared" si="4"/>
        <v>375</v>
      </c>
      <c r="I167" s="102"/>
      <c r="J167" s="102"/>
      <c r="K167" s="102"/>
      <c r="L167" s="117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2.75" customHeight="1" x14ac:dyDescent="0.25">
      <c r="A168" s="116">
        <f t="shared" si="1"/>
        <v>5</v>
      </c>
      <c r="B168" s="100">
        <f t="shared" si="2"/>
        <v>2022</v>
      </c>
      <c r="C168" s="100" t="str">
        <f t="shared" si="3"/>
        <v>Income: 1</v>
      </c>
      <c r="D168" s="101">
        <v>44683</v>
      </c>
      <c r="E168" s="102" t="s">
        <v>51</v>
      </c>
      <c r="F168" s="103">
        <v>1725</v>
      </c>
      <c r="G168" s="103"/>
      <c r="H168" s="105">
        <f t="shared" si="4"/>
        <v>-1350</v>
      </c>
      <c r="I168" s="120"/>
      <c r="J168" s="120"/>
      <c r="K168" s="120"/>
      <c r="L168" s="121"/>
    </row>
    <row r="169" spans="1:26" ht="12.75" customHeight="1" x14ac:dyDescent="0.25">
      <c r="A169" s="116">
        <f t="shared" si="1"/>
        <v>5</v>
      </c>
      <c r="B169" s="100">
        <f t="shared" si="2"/>
        <v>2022</v>
      </c>
      <c r="C169" s="100" t="str">
        <f t="shared" si="3"/>
        <v>Rent: 1</v>
      </c>
      <c r="D169" s="118" t="str">
        <f>MONTH(D166)+1 &amp; "/28/" &amp; YEAR(D166)</f>
        <v>5/28/2022</v>
      </c>
      <c r="E169" s="119" t="str">
        <f>"Rent: "&amp;LOOKUP(A169-1, Months, TextMonths)&amp;" '"&amp;B169</f>
        <v>Rent: May '2022</v>
      </c>
      <c r="F169" s="103"/>
      <c r="G169" s="104">
        <v>1725</v>
      </c>
      <c r="H169" s="105">
        <f t="shared" si="4"/>
        <v>375</v>
      </c>
      <c r="I169" s="102"/>
      <c r="J169" s="102"/>
      <c r="K169" s="102"/>
      <c r="L169" s="117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2.75" customHeight="1" x14ac:dyDescent="0.25">
      <c r="A170" s="116">
        <f t="shared" si="1"/>
        <v>6</v>
      </c>
      <c r="B170" s="100">
        <f t="shared" si="2"/>
        <v>2022</v>
      </c>
      <c r="C170" s="100" t="str">
        <f t="shared" si="3"/>
        <v>Income: 1</v>
      </c>
      <c r="D170" s="101">
        <v>44718</v>
      </c>
      <c r="E170" s="102" t="s">
        <v>51</v>
      </c>
      <c r="F170" s="103">
        <v>1780</v>
      </c>
      <c r="G170" s="103"/>
      <c r="H170" s="105">
        <f t="shared" si="4"/>
        <v>-1405</v>
      </c>
      <c r="I170" s="120"/>
      <c r="J170" s="120"/>
      <c r="K170" s="120"/>
      <c r="L170" s="121"/>
    </row>
    <row r="171" spans="1:26" ht="12.75" customHeight="1" x14ac:dyDescent="0.25">
      <c r="A171" s="116">
        <f t="shared" si="1"/>
        <v>6</v>
      </c>
      <c r="B171" s="100">
        <f t="shared" si="2"/>
        <v>2022</v>
      </c>
      <c r="C171" s="100" t="str">
        <f t="shared" si="3"/>
        <v/>
      </c>
      <c r="D171" s="101">
        <v>44718</v>
      </c>
      <c r="E171" s="102" t="s">
        <v>52</v>
      </c>
      <c r="F171" s="103"/>
      <c r="G171" s="103">
        <v>55</v>
      </c>
      <c r="H171" s="105">
        <f t="shared" si="4"/>
        <v>-1350</v>
      </c>
      <c r="I171" s="120"/>
      <c r="J171" s="120"/>
      <c r="K171" s="120"/>
      <c r="L171" s="121"/>
      <c r="M171" s="32"/>
      <c r="N171" s="32"/>
    </row>
    <row r="172" spans="1:26" ht="12.75" customHeight="1" thickBot="1" x14ac:dyDescent="0.3">
      <c r="A172" s="122">
        <f t="shared" ref="A172:A190" si="5">MONTH(D172)</f>
        <v>6</v>
      </c>
      <c r="B172" s="123">
        <f t="shared" ref="B172:B190" si="6">YEAR(D172)</f>
        <v>2022</v>
      </c>
      <c r="C172" s="123" t="str">
        <f t="shared" ref="C172:C190" si="7">IFERROR("Rent: "&amp;FIND("Rent",E172),IFERROR("Priv Tax: "&amp;FIND("Tax",E172), IFERROR("Income: "&amp;FIND("Payment",E172,1),"")))</f>
        <v>Rent: 1</v>
      </c>
      <c r="D172" s="124" t="str">
        <f>MONTH(D169)+1 &amp; "/28/" &amp; YEAR(D169)</f>
        <v>6/28/2022</v>
      </c>
      <c r="E172" s="125" t="str">
        <f>"Rent: "&amp;LOOKUP(A172-1, Months, TextMonths)&amp;" '"&amp;B172</f>
        <v>Rent: Jun '2022</v>
      </c>
      <c r="F172" s="126"/>
      <c r="G172" s="127">
        <v>1725</v>
      </c>
      <c r="H172" s="128">
        <f>H171+G172-F172</f>
        <v>375</v>
      </c>
      <c r="I172" s="129"/>
      <c r="J172" s="129"/>
      <c r="K172" s="129"/>
      <c r="L172" s="130"/>
      <c r="M172" s="36"/>
      <c r="N172" s="36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2" customHeight="1" x14ac:dyDescent="0.25">
      <c r="A173" s="107">
        <f t="shared" si="5"/>
        <v>7</v>
      </c>
      <c r="B173" s="108">
        <f t="shared" si="6"/>
        <v>2022</v>
      </c>
      <c r="C173" s="108" t="str">
        <f t="shared" si="7"/>
        <v>Income: 1</v>
      </c>
      <c r="D173" s="141">
        <v>44747</v>
      </c>
      <c r="E173" s="133" t="s">
        <v>51</v>
      </c>
      <c r="F173" s="111">
        <v>1725</v>
      </c>
      <c r="G173" s="111"/>
      <c r="H173" s="142">
        <v>0</v>
      </c>
      <c r="I173" s="143"/>
      <c r="J173" s="114"/>
      <c r="K173" s="114"/>
      <c r="L173" s="115"/>
    </row>
    <row r="174" spans="1:26" ht="12.75" customHeight="1" x14ac:dyDescent="0.25">
      <c r="A174" s="116">
        <f t="shared" si="5"/>
        <v>7</v>
      </c>
      <c r="B174" s="100">
        <f t="shared" si="6"/>
        <v>2022</v>
      </c>
      <c r="C174" s="100" t="str">
        <f t="shared" si="7"/>
        <v>Rent: 1</v>
      </c>
      <c r="D174" s="118" t="str">
        <f>MONTH(D171)+1 &amp; "/28/" &amp; YEAR(D171)</f>
        <v>7/28/2022</v>
      </c>
      <c r="E174" s="119" t="str">
        <f>"Rent: "&amp;LOOKUP(A174-1, Months, TextMonths)&amp;" '"&amp;B174</f>
        <v>Rent: Jul '2022</v>
      </c>
      <c r="F174" s="103"/>
      <c r="G174" s="104">
        <v>1725</v>
      </c>
      <c r="H174" s="105">
        <f t="shared" ref="H174:H190" si="8">H173+G174-F174</f>
        <v>1725</v>
      </c>
      <c r="I174" s="102"/>
      <c r="J174" s="102"/>
      <c r="K174" s="102"/>
      <c r="L174" s="117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2.75" customHeight="1" x14ac:dyDescent="0.25">
      <c r="A175" s="116">
        <f t="shared" si="5"/>
        <v>8</v>
      </c>
      <c r="B175" s="100">
        <f t="shared" si="6"/>
        <v>2022</v>
      </c>
      <c r="C175" s="100" t="str">
        <f t="shared" si="7"/>
        <v>Income: 1</v>
      </c>
      <c r="D175" s="101">
        <v>44774</v>
      </c>
      <c r="E175" s="102" t="s">
        <v>51</v>
      </c>
      <c r="F175" s="103">
        <v>1780</v>
      </c>
      <c r="G175" s="103"/>
      <c r="H175" s="105">
        <f t="shared" si="8"/>
        <v>-55</v>
      </c>
      <c r="I175" s="120"/>
      <c r="J175" s="120"/>
      <c r="K175" s="120"/>
      <c r="L175" s="121"/>
    </row>
    <row r="176" spans="1:26" ht="12.75" customHeight="1" x14ac:dyDescent="0.25">
      <c r="A176" s="116">
        <f t="shared" si="5"/>
        <v>8</v>
      </c>
      <c r="B176" s="100">
        <f t="shared" si="6"/>
        <v>2022</v>
      </c>
      <c r="C176" s="100" t="str">
        <f t="shared" si="7"/>
        <v>Rent: 1</v>
      </c>
      <c r="D176" s="118" t="str">
        <f>MONTH(D173)+1 &amp; "/28/" &amp; YEAR(D173)</f>
        <v>8/28/2022</v>
      </c>
      <c r="E176" s="119" t="str">
        <f>"Rent: "&amp;LOOKUP(A176-1, Months, TextMonths)&amp;" '"&amp;B176</f>
        <v>Rent: Aug '2022</v>
      </c>
      <c r="F176" s="103"/>
      <c r="G176" s="104">
        <v>1725</v>
      </c>
      <c r="H176" s="105">
        <f t="shared" si="8"/>
        <v>1670</v>
      </c>
      <c r="I176" s="120"/>
      <c r="J176" s="120"/>
      <c r="K176" s="120"/>
      <c r="L176" s="121"/>
    </row>
    <row r="177" spans="1:14" ht="12.75" customHeight="1" x14ac:dyDescent="0.25">
      <c r="A177" s="116">
        <f t="shared" si="5"/>
        <v>9</v>
      </c>
      <c r="B177" s="100">
        <f t="shared" si="6"/>
        <v>2022</v>
      </c>
      <c r="C177" s="100" t="str">
        <f t="shared" si="7"/>
        <v>Income: 1</v>
      </c>
      <c r="D177" s="101">
        <v>44810</v>
      </c>
      <c r="E177" s="102" t="s">
        <v>51</v>
      </c>
      <c r="F177" s="103">
        <v>1780</v>
      </c>
      <c r="G177" s="103"/>
      <c r="H177" s="105">
        <f t="shared" si="8"/>
        <v>-110</v>
      </c>
      <c r="I177" s="120"/>
      <c r="J177" s="120"/>
      <c r="K177" s="120"/>
      <c r="L177" s="121"/>
      <c r="M177" s="32"/>
      <c r="N177" s="32"/>
    </row>
    <row r="178" spans="1:14" ht="12.75" customHeight="1" thickBot="1" x14ac:dyDescent="0.3">
      <c r="A178" s="122">
        <f t="shared" si="5"/>
        <v>9</v>
      </c>
      <c r="B178" s="123">
        <f t="shared" si="6"/>
        <v>2022</v>
      </c>
      <c r="C178" s="123" t="str">
        <f t="shared" si="7"/>
        <v/>
      </c>
      <c r="D178" s="139">
        <v>44810</v>
      </c>
      <c r="E178" s="129" t="s">
        <v>52</v>
      </c>
      <c r="F178" s="126"/>
      <c r="G178" s="126">
        <v>55</v>
      </c>
      <c r="H178" s="128">
        <f t="shared" si="8"/>
        <v>-55</v>
      </c>
      <c r="I178" s="137"/>
      <c r="J178" s="137"/>
      <c r="K178" s="137"/>
      <c r="L178" s="138"/>
      <c r="M178" s="36"/>
      <c r="N178" s="36"/>
    </row>
    <row r="179" spans="1:14" ht="12.75" customHeight="1" x14ac:dyDescent="0.25">
      <c r="A179" s="107">
        <f t="shared" si="5"/>
        <v>9</v>
      </c>
      <c r="B179" s="108">
        <f t="shared" si="6"/>
        <v>2022</v>
      </c>
      <c r="C179" s="108" t="str">
        <f t="shared" si="7"/>
        <v>Rent: 1</v>
      </c>
      <c r="D179" s="109" t="str">
        <f>MONTH(D176)+1 &amp; "/28/" &amp; YEAR(D176)</f>
        <v>9/28/2022</v>
      </c>
      <c r="E179" s="110" t="str">
        <f>"Rent: "&amp;LOOKUP(A179-1, Months, TextMonths)&amp;" '"&amp;B179</f>
        <v>Rent: Sep '2022</v>
      </c>
      <c r="F179" s="111"/>
      <c r="G179" s="112">
        <v>1725</v>
      </c>
      <c r="H179" s="113">
        <f t="shared" si="8"/>
        <v>1670</v>
      </c>
      <c r="I179" s="114"/>
      <c r="J179" s="114"/>
      <c r="K179" s="114"/>
      <c r="L179" s="115"/>
    </row>
    <row r="180" spans="1:14" ht="12.75" customHeight="1" x14ac:dyDescent="0.25">
      <c r="A180" s="116">
        <f t="shared" si="5"/>
        <v>10</v>
      </c>
      <c r="B180" s="100">
        <f t="shared" si="6"/>
        <v>2022</v>
      </c>
      <c r="C180" s="100" t="str">
        <f t="shared" si="7"/>
        <v>Income: 1</v>
      </c>
      <c r="D180" s="101">
        <v>44845</v>
      </c>
      <c r="E180" s="102" t="s">
        <v>51</v>
      </c>
      <c r="F180" s="103">
        <v>1895</v>
      </c>
      <c r="G180" s="103"/>
      <c r="H180" s="105">
        <f t="shared" si="8"/>
        <v>-225</v>
      </c>
      <c r="I180" s="120"/>
      <c r="J180" s="120"/>
      <c r="K180" s="120"/>
      <c r="L180" s="121"/>
    </row>
    <row r="181" spans="1:14" ht="12.75" customHeight="1" x14ac:dyDescent="0.25">
      <c r="A181" s="116">
        <f t="shared" si="5"/>
        <v>9</v>
      </c>
      <c r="B181" s="100">
        <f t="shared" si="6"/>
        <v>2022</v>
      </c>
      <c r="C181" s="100" t="str">
        <f t="shared" si="7"/>
        <v/>
      </c>
      <c r="D181" s="101">
        <v>44810</v>
      </c>
      <c r="E181" s="102" t="s">
        <v>52</v>
      </c>
      <c r="F181" s="103"/>
      <c r="G181" s="103">
        <v>170</v>
      </c>
      <c r="H181" s="105">
        <f t="shared" si="8"/>
        <v>-55</v>
      </c>
      <c r="I181" s="120"/>
      <c r="J181" s="120"/>
      <c r="K181" s="120"/>
      <c r="L181" s="121"/>
    </row>
    <row r="182" spans="1:14" ht="12.75" customHeight="1" x14ac:dyDescent="0.25">
      <c r="A182" s="116">
        <f t="shared" si="5"/>
        <v>10</v>
      </c>
      <c r="B182" s="100">
        <f t="shared" si="6"/>
        <v>2022</v>
      </c>
      <c r="C182" s="100" t="str">
        <f t="shared" si="7"/>
        <v>Rent: 1</v>
      </c>
      <c r="D182" s="118" t="str">
        <f>MONTH(D179)+1 &amp; "/28/" &amp; YEAR(D179)</f>
        <v>10/28/2022</v>
      </c>
      <c r="E182" s="119" t="str">
        <f>"Rent: "&amp;LOOKUP(A182-1, Months, TextMonths)&amp;" '"&amp;B182</f>
        <v>Rent: Oct '2022</v>
      </c>
      <c r="F182" s="103"/>
      <c r="G182" s="104">
        <v>1800</v>
      </c>
      <c r="H182" s="105">
        <f t="shared" si="8"/>
        <v>1745</v>
      </c>
      <c r="I182" s="120"/>
      <c r="J182" s="120"/>
      <c r="K182" s="120"/>
      <c r="L182" s="121"/>
    </row>
    <row r="183" spans="1:14" ht="12.75" customHeight="1" x14ac:dyDescent="0.25">
      <c r="A183" s="116">
        <f t="shared" si="5"/>
        <v>11</v>
      </c>
      <c r="B183" s="100">
        <f t="shared" si="6"/>
        <v>2022</v>
      </c>
      <c r="C183" s="100" t="str">
        <f t="shared" si="7"/>
        <v>Income: 1</v>
      </c>
      <c r="D183" s="101">
        <v>44867</v>
      </c>
      <c r="E183" s="102" t="s">
        <v>51</v>
      </c>
      <c r="F183" s="103">
        <v>1845</v>
      </c>
      <c r="G183" s="103"/>
      <c r="H183" s="105">
        <f t="shared" si="8"/>
        <v>-100</v>
      </c>
      <c r="I183" s="120"/>
      <c r="J183" s="120"/>
      <c r="K183" s="120"/>
      <c r="L183" s="121"/>
    </row>
    <row r="184" spans="1:14" ht="12.75" customHeight="1" x14ac:dyDescent="0.25">
      <c r="A184" s="116">
        <f t="shared" si="5"/>
        <v>11</v>
      </c>
      <c r="B184" s="100">
        <f t="shared" si="6"/>
        <v>2022</v>
      </c>
      <c r="C184" s="100" t="str">
        <f t="shared" si="7"/>
        <v/>
      </c>
      <c r="D184" s="101">
        <v>44867</v>
      </c>
      <c r="E184" s="102" t="s">
        <v>52</v>
      </c>
      <c r="F184" s="103"/>
      <c r="G184" s="103">
        <v>45</v>
      </c>
      <c r="H184" s="105">
        <f t="shared" si="8"/>
        <v>-55</v>
      </c>
      <c r="I184" s="120"/>
      <c r="J184" s="120"/>
      <c r="K184" s="120"/>
      <c r="L184" s="121"/>
    </row>
    <row r="185" spans="1:14" ht="12.75" customHeight="1" x14ac:dyDescent="0.25">
      <c r="A185" s="116">
        <f t="shared" si="5"/>
        <v>11</v>
      </c>
      <c r="B185" s="100">
        <f t="shared" si="6"/>
        <v>2022</v>
      </c>
      <c r="C185" s="100" t="str">
        <f t="shared" si="7"/>
        <v>Rent: 1</v>
      </c>
      <c r="D185" s="118" t="str">
        <f>MONTH(D182)+1 &amp; "/28/" &amp; YEAR(D182)</f>
        <v>11/28/2022</v>
      </c>
      <c r="E185" s="119" t="str">
        <f>"Rent: "&amp;LOOKUP(A185-1, Months, TextMonths)&amp;" '"&amp;B185</f>
        <v>Rent: Nov '2022</v>
      </c>
      <c r="F185" s="103"/>
      <c r="G185" s="104">
        <v>1800</v>
      </c>
      <c r="H185" s="105">
        <f t="shared" si="8"/>
        <v>1745</v>
      </c>
      <c r="I185" s="120"/>
      <c r="J185" s="120"/>
      <c r="K185" s="120"/>
      <c r="L185" s="121"/>
    </row>
    <row r="186" spans="1:14" ht="12.75" customHeight="1" x14ac:dyDescent="0.25">
      <c r="A186" s="116">
        <f t="shared" si="5"/>
        <v>11</v>
      </c>
      <c r="B186" s="100">
        <f t="shared" si="6"/>
        <v>2022</v>
      </c>
      <c r="C186" s="100" t="str">
        <f t="shared" si="7"/>
        <v>Income: 1</v>
      </c>
      <c r="D186" s="101">
        <v>44867</v>
      </c>
      <c r="E186" s="102" t="s">
        <v>51</v>
      </c>
      <c r="F186" s="103">
        <v>1800</v>
      </c>
      <c r="G186" s="103"/>
      <c r="H186" s="105">
        <f t="shared" si="8"/>
        <v>-55</v>
      </c>
      <c r="I186" s="120"/>
      <c r="J186" s="120"/>
      <c r="K186" s="120"/>
      <c r="L186" s="121"/>
      <c r="M186" s="32"/>
      <c r="N186" s="32"/>
    </row>
    <row r="187" spans="1:14" ht="12.75" customHeight="1" thickBot="1" x14ac:dyDescent="0.3">
      <c r="A187" s="122">
        <f t="shared" si="5"/>
        <v>11</v>
      </c>
      <c r="B187" s="123">
        <f t="shared" si="6"/>
        <v>2022</v>
      </c>
      <c r="C187" s="123" t="str">
        <f t="shared" si="7"/>
        <v/>
      </c>
      <c r="D187" s="139">
        <v>44867</v>
      </c>
      <c r="E187" s="129" t="s">
        <v>52</v>
      </c>
      <c r="F187" s="126"/>
      <c r="G187" s="126">
        <v>55</v>
      </c>
      <c r="H187" s="128">
        <f t="shared" si="8"/>
        <v>0</v>
      </c>
      <c r="I187" s="137"/>
      <c r="J187" s="137"/>
      <c r="K187" s="137"/>
      <c r="L187" s="138"/>
      <c r="M187" s="36"/>
      <c r="N187" s="36"/>
    </row>
    <row r="188" spans="1:14" ht="12.75" customHeight="1" x14ac:dyDescent="0.25">
      <c r="A188" s="116">
        <f t="shared" si="5"/>
        <v>12</v>
      </c>
      <c r="B188" s="100">
        <f t="shared" si="6"/>
        <v>2022</v>
      </c>
      <c r="C188" s="100" t="str">
        <f t="shared" si="7"/>
        <v>Rent: 1</v>
      </c>
      <c r="D188" s="118" t="str">
        <f>MONTH(D185)+1 &amp; "/28/" &amp; YEAR(D185)</f>
        <v>12/28/2022</v>
      </c>
      <c r="E188" s="119" t="str">
        <f>"Rent: "&amp;LOOKUP(A188-1, Months, TextMonths)&amp;" '"&amp;B188</f>
        <v>Rent: Dec '2022</v>
      </c>
      <c r="F188" s="103"/>
      <c r="G188" s="104">
        <v>1850</v>
      </c>
      <c r="H188" s="105">
        <f t="shared" si="8"/>
        <v>1850</v>
      </c>
    </row>
    <row r="189" spans="1:14" ht="12.75" customHeight="1" x14ac:dyDescent="0.25">
      <c r="A189" s="116">
        <f t="shared" si="5"/>
        <v>1</v>
      </c>
      <c r="B189" s="100">
        <f t="shared" si="6"/>
        <v>2023</v>
      </c>
      <c r="C189" s="100" t="str">
        <f t="shared" si="7"/>
        <v>Income: 1</v>
      </c>
      <c r="D189" s="101">
        <v>44929</v>
      </c>
      <c r="E189" s="102" t="s">
        <v>51</v>
      </c>
      <c r="F189" s="103">
        <v>1850</v>
      </c>
      <c r="G189" s="103"/>
      <c r="H189" s="105">
        <f t="shared" si="8"/>
        <v>0</v>
      </c>
    </row>
    <row r="190" spans="1:14" ht="12.75" customHeight="1" x14ac:dyDescent="0.25">
      <c r="A190" s="116">
        <f t="shared" si="5"/>
        <v>1</v>
      </c>
      <c r="B190" s="100">
        <f t="shared" si="6"/>
        <v>2023</v>
      </c>
      <c r="C190" s="100" t="str">
        <f t="shared" si="7"/>
        <v/>
      </c>
      <c r="D190" s="101">
        <v>44929</v>
      </c>
      <c r="E190" s="102" t="s">
        <v>52</v>
      </c>
      <c r="F190" s="103"/>
      <c r="G190" s="103">
        <v>55</v>
      </c>
      <c r="H190" s="105">
        <f t="shared" si="8"/>
        <v>55</v>
      </c>
    </row>
    <row r="191" spans="1:14" ht="12.75" customHeight="1" x14ac:dyDescent="0.25">
      <c r="F191" s="36"/>
      <c r="G191" s="36"/>
      <c r="H191" s="36"/>
    </row>
    <row r="192" spans="1:14" ht="12.75" customHeight="1" x14ac:dyDescent="0.25">
      <c r="F192" s="36"/>
      <c r="G192" s="36"/>
      <c r="H192" s="36"/>
    </row>
    <row r="193" spans="6:8" ht="12.75" customHeight="1" x14ac:dyDescent="0.25">
      <c r="F193" s="36"/>
      <c r="G193" s="36"/>
      <c r="H193" s="36"/>
    </row>
    <row r="194" spans="6:8" ht="12.75" customHeight="1" x14ac:dyDescent="0.25">
      <c r="F194" s="36"/>
      <c r="G194" s="36"/>
      <c r="H194" s="36"/>
    </row>
    <row r="195" spans="6:8" ht="12.75" customHeight="1" x14ac:dyDescent="0.25">
      <c r="F195" s="36"/>
      <c r="G195" s="36"/>
      <c r="H195" s="36"/>
    </row>
    <row r="196" spans="6:8" ht="12.75" customHeight="1" x14ac:dyDescent="0.25">
      <c r="F196" s="36"/>
      <c r="G196" s="36"/>
      <c r="H196" s="36"/>
    </row>
    <row r="197" spans="6:8" ht="12.75" customHeight="1" x14ac:dyDescent="0.25">
      <c r="F197" s="36"/>
      <c r="G197" s="36"/>
      <c r="H197" s="36"/>
    </row>
    <row r="198" spans="6:8" ht="12.75" customHeight="1" x14ac:dyDescent="0.25">
      <c r="F198" s="36"/>
      <c r="G198" s="36"/>
      <c r="H198" s="36"/>
    </row>
    <row r="199" spans="6:8" ht="12.75" customHeight="1" x14ac:dyDescent="0.25">
      <c r="F199" s="36"/>
      <c r="G199" s="36"/>
      <c r="H199" s="36"/>
    </row>
    <row r="200" spans="6:8" ht="12.75" customHeight="1" x14ac:dyDescent="0.25">
      <c r="F200" s="36"/>
      <c r="G200" s="36"/>
      <c r="H200" s="36"/>
    </row>
    <row r="201" spans="6:8" ht="12.75" customHeight="1" x14ac:dyDescent="0.25">
      <c r="F201" s="36"/>
      <c r="G201" s="36"/>
      <c r="H201" s="36"/>
    </row>
    <row r="202" spans="6:8" ht="12.75" customHeight="1" x14ac:dyDescent="0.25">
      <c r="F202" s="36"/>
      <c r="G202" s="36"/>
      <c r="H202" s="36"/>
    </row>
    <row r="203" spans="6:8" ht="12.75" customHeight="1" x14ac:dyDescent="0.25">
      <c r="F203" s="36"/>
      <c r="G203" s="36"/>
      <c r="H203" s="36"/>
    </row>
    <row r="204" spans="6:8" ht="12.75" customHeight="1" x14ac:dyDescent="0.25">
      <c r="F204" s="36"/>
      <c r="G204" s="36"/>
      <c r="H204" s="36"/>
    </row>
    <row r="205" spans="6:8" ht="12.75" customHeight="1" x14ac:dyDescent="0.25">
      <c r="F205" s="36"/>
      <c r="G205" s="36"/>
      <c r="H205" s="36"/>
    </row>
    <row r="206" spans="6:8" ht="12.75" customHeight="1" x14ac:dyDescent="0.25">
      <c r="F206" s="36"/>
      <c r="G206" s="36"/>
      <c r="H206" s="36"/>
    </row>
    <row r="207" spans="6:8" ht="12.75" customHeight="1" x14ac:dyDescent="0.25">
      <c r="F207" s="36"/>
      <c r="G207" s="36"/>
      <c r="H207" s="36"/>
    </row>
    <row r="208" spans="6:8" ht="12.75" customHeight="1" x14ac:dyDescent="0.25">
      <c r="F208" s="36"/>
      <c r="G208" s="36"/>
      <c r="H208" s="36"/>
    </row>
    <row r="209" spans="6:8" ht="12.75" customHeight="1" x14ac:dyDescent="0.25">
      <c r="F209" s="36"/>
      <c r="G209" s="36"/>
      <c r="H209" s="36"/>
    </row>
    <row r="210" spans="6:8" ht="12.75" customHeight="1" x14ac:dyDescent="0.25">
      <c r="F210" s="36"/>
      <c r="G210" s="36"/>
      <c r="H210" s="36"/>
    </row>
    <row r="211" spans="6:8" ht="12.75" customHeight="1" x14ac:dyDescent="0.25">
      <c r="F211" s="36"/>
      <c r="G211" s="36"/>
      <c r="H211" s="36"/>
    </row>
    <row r="212" spans="6:8" ht="12.75" customHeight="1" x14ac:dyDescent="0.25">
      <c r="F212" s="36"/>
      <c r="G212" s="36"/>
      <c r="H212" s="36"/>
    </row>
    <row r="213" spans="6:8" ht="12.75" customHeight="1" x14ac:dyDescent="0.25">
      <c r="F213" s="36"/>
      <c r="G213" s="36"/>
      <c r="H213" s="36"/>
    </row>
    <row r="214" spans="6:8" ht="12.75" customHeight="1" x14ac:dyDescent="0.25">
      <c r="F214" s="36"/>
      <c r="G214" s="36"/>
      <c r="H214" s="36"/>
    </row>
    <row r="215" spans="6:8" ht="12.75" customHeight="1" x14ac:dyDescent="0.25">
      <c r="F215" s="36"/>
      <c r="G215" s="36"/>
      <c r="H215" s="36"/>
    </row>
    <row r="216" spans="6:8" ht="12.75" customHeight="1" x14ac:dyDescent="0.25">
      <c r="F216" s="36"/>
      <c r="G216" s="36"/>
      <c r="H216" s="36"/>
    </row>
    <row r="217" spans="6:8" ht="12.75" customHeight="1" x14ac:dyDescent="0.25">
      <c r="F217" s="36"/>
      <c r="G217" s="36"/>
      <c r="H217" s="36"/>
    </row>
    <row r="218" spans="6:8" ht="12.75" customHeight="1" x14ac:dyDescent="0.25">
      <c r="F218" s="36"/>
      <c r="G218" s="36"/>
      <c r="H218" s="36"/>
    </row>
    <row r="219" spans="6:8" ht="12.75" customHeight="1" x14ac:dyDescent="0.25">
      <c r="F219" s="36"/>
      <c r="G219" s="36"/>
      <c r="H219" s="36"/>
    </row>
    <row r="220" spans="6:8" ht="12.75" customHeight="1" x14ac:dyDescent="0.25">
      <c r="F220" s="36"/>
      <c r="G220" s="36"/>
      <c r="H220" s="36"/>
    </row>
    <row r="221" spans="6:8" ht="12.75" customHeight="1" x14ac:dyDescent="0.25">
      <c r="F221" s="36"/>
      <c r="G221" s="36"/>
      <c r="H221" s="36"/>
    </row>
    <row r="222" spans="6:8" ht="12.75" customHeight="1" x14ac:dyDescent="0.25">
      <c r="F222" s="36"/>
      <c r="G222" s="36"/>
      <c r="H222" s="36"/>
    </row>
    <row r="223" spans="6:8" ht="12.75" customHeight="1" x14ac:dyDescent="0.25">
      <c r="F223" s="36"/>
      <c r="G223" s="36"/>
      <c r="H223" s="36"/>
    </row>
    <row r="224" spans="6:8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>
      <c r="F938" s="36"/>
      <c r="G938" s="36"/>
      <c r="H938" s="36"/>
    </row>
    <row r="939" spans="6:8" ht="12.75" customHeight="1" x14ac:dyDescent="0.25">
      <c r="F939" s="36"/>
      <c r="G939" s="36"/>
      <c r="H939" s="36"/>
    </row>
    <row r="940" spans="6:8" ht="12.75" customHeight="1" x14ac:dyDescent="0.25">
      <c r="F940" s="36"/>
      <c r="G940" s="36"/>
      <c r="H940" s="36"/>
    </row>
    <row r="941" spans="6:8" ht="12.75" customHeight="1" x14ac:dyDescent="0.25">
      <c r="F941" s="36"/>
      <c r="G941" s="36"/>
      <c r="H941" s="36"/>
    </row>
    <row r="942" spans="6:8" ht="12.75" customHeight="1" x14ac:dyDescent="0.25">
      <c r="F942" s="36"/>
      <c r="G942" s="36"/>
      <c r="H942" s="36"/>
    </row>
    <row r="943" spans="6:8" ht="12.75" customHeight="1" x14ac:dyDescent="0.25">
      <c r="F943" s="36"/>
      <c r="G943" s="36"/>
      <c r="H943" s="36"/>
    </row>
    <row r="944" spans="6:8" ht="12.75" customHeight="1" x14ac:dyDescent="0.25">
      <c r="F944" s="36"/>
      <c r="G944" s="36"/>
      <c r="H944" s="36"/>
    </row>
    <row r="945" spans="6:8" ht="12.75" customHeight="1" x14ac:dyDescent="0.25">
      <c r="F945" s="36"/>
      <c r="G945" s="36"/>
      <c r="H945" s="36"/>
    </row>
    <row r="946" spans="6:8" ht="12.75" customHeight="1" x14ac:dyDescent="0.25">
      <c r="F946" s="36"/>
      <c r="G946" s="36"/>
      <c r="H946" s="36"/>
    </row>
    <row r="947" spans="6:8" ht="12.75" customHeight="1" x14ac:dyDescent="0.25">
      <c r="F947" s="36"/>
      <c r="G947" s="36"/>
      <c r="H947" s="36"/>
    </row>
    <row r="948" spans="6:8" ht="12.75" customHeight="1" x14ac:dyDescent="0.25">
      <c r="F948" s="36"/>
      <c r="G948" s="36"/>
      <c r="H948" s="36"/>
    </row>
    <row r="949" spans="6:8" ht="12.75" customHeight="1" x14ac:dyDescent="0.25">
      <c r="F949" s="36"/>
      <c r="G949" s="36"/>
      <c r="H949" s="36"/>
    </row>
    <row r="950" spans="6:8" ht="12.75" customHeight="1" x14ac:dyDescent="0.25">
      <c r="F950" s="36"/>
      <c r="G950" s="36"/>
      <c r="H950" s="36"/>
    </row>
    <row r="951" spans="6:8" ht="12.75" customHeight="1" x14ac:dyDescent="0.25">
      <c r="F951" s="36"/>
      <c r="G951" s="36"/>
      <c r="H951" s="36"/>
    </row>
    <row r="952" spans="6:8" ht="12.75" customHeight="1" x14ac:dyDescent="0.25">
      <c r="F952" s="36"/>
      <c r="G952" s="36"/>
      <c r="H952" s="36"/>
    </row>
    <row r="953" spans="6:8" ht="12.75" customHeight="1" x14ac:dyDescent="0.25">
      <c r="F953" s="36"/>
      <c r="G953" s="36"/>
      <c r="H953" s="36"/>
    </row>
    <row r="954" spans="6:8" ht="12.75" customHeight="1" x14ac:dyDescent="0.25">
      <c r="F954" s="36"/>
      <c r="G954" s="36"/>
      <c r="H954" s="36"/>
    </row>
    <row r="955" spans="6:8" ht="12.75" customHeight="1" x14ac:dyDescent="0.25">
      <c r="F955" s="36"/>
      <c r="G955" s="36"/>
      <c r="H955" s="36"/>
    </row>
    <row r="956" spans="6:8" ht="12.75" customHeight="1" x14ac:dyDescent="0.25">
      <c r="F956" s="36"/>
      <c r="G956" s="36"/>
      <c r="H956" s="36"/>
    </row>
    <row r="957" spans="6:8" ht="12.75" customHeight="1" x14ac:dyDescent="0.25">
      <c r="F957" s="36"/>
      <c r="G957" s="36"/>
      <c r="H957" s="36"/>
    </row>
    <row r="958" spans="6:8" ht="12.75" customHeight="1" x14ac:dyDescent="0.25">
      <c r="F958" s="36"/>
      <c r="G958" s="36"/>
      <c r="H958" s="36"/>
    </row>
    <row r="959" spans="6:8" ht="12.75" customHeight="1" x14ac:dyDescent="0.25">
      <c r="F959" s="36"/>
      <c r="G959" s="36"/>
      <c r="H959" s="36"/>
    </row>
    <row r="960" spans="6:8" ht="12.75" customHeight="1" x14ac:dyDescent="0.25">
      <c r="F960" s="36"/>
      <c r="G960" s="36"/>
      <c r="H960" s="36"/>
    </row>
    <row r="961" spans="6:8" ht="12.75" customHeight="1" x14ac:dyDescent="0.25">
      <c r="F961" s="36"/>
      <c r="G961" s="36"/>
      <c r="H961" s="36"/>
    </row>
    <row r="962" spans="6:8" ht="12.75" customHeight="1" x14ac:dyDescent="0.25">
      <c r="F962" s="36"/>
      <c r="G962" s="36"/>
      <c r="H962" s="36"/>
    </row>
    <row r="963" spans="6:8" ht="12.75" customHeight="1" x14ac:dyDescent="0.25">
      <c r="F963" s="36"/>
      <c r="G963" s="36"/>
      <c r="H963" s="36"/>
    </row>
    <row r="964" spans="6:8" ht="12.75" customHeight="1" x14ac:dyDescent="0.25">
      <c r="F964" s="36"/>
      <c r="G964" s="36"/>
      <c r="H964" s="36"/>
    </row>
    <row r="965" spans="6:8" ht="12.75" customHeight="1" x14ac:dyDescent="0.25">
      <c r="F965" s="36"/>
      <c r="G965" s="36"/>
      <c r="H965" s="36"/>
    </row>
    <row r="966" spans="6:8" ht="12.75" customHeight="1" x14ac:dyDescent="0.25">
      <c r="F966" s="36"/>
      <c r="G966" s="36"/>
      <c r="H966" s="36"/>
    </row>
    <row r="967" spans="6:8" ht="12.75" customHeight="1" x14ac:dyDescent="0.25">
      <c r="F967" s="36"/>
      <c r="G967" s="36"/>
      <c r="H967" s="36"/>
    </row>
    <row r="968" spans="6:8" ht="12.75" customHeight="1" x14ac:dyDescent="0.25">
      <c r="F968" s="36"/>
      <c r="G968" s="36"/>
      <c r="H968" s="36"/>
    </row>
    <row r="969" spans="6:8" ht="12.75" customHeight="1" x14ac:dyDescent="0.25">
      <c r="F969" s="36"/>
      <c r="G969" s="36"/>
      <c r="H969" s="36"/>
    </row>
    <row r="970" spans="6:8" ht="12.75" customHeight="1" x14ac:dyDescent="0.25">
      <c r="F970" s="36"/>
      <c r="G970" s="36"/>
      <c r="H970" s="36"/>
    </row>
    <row r="971" spans="6:8" ht="12.75" customHeight="1" x14ac:dyDescent="0.25">
      <c r="F971" s="36"/>
      <c r="G971" s="36"/>
      <c r="H971" s="36"/>
    </row>
    <row r="972" spans="6:8" ht="12.75" customHeight="1" x14ac:dyDescent="0.25">
      <c r="F972" s="36"/>
      <c r="G972" s="36"/>
      <c r="H972" s="36"/>
    </row>
    <row r="973" spans="6:8" ht="12.75" customHeight="1" x14ac:dyDescent="0.25">
      <c r="F973" s="36"/>
      <c r="G973" s="36"/>
      <c r="H973" s="36"/>
    </row>
    <row r="974" spans="6:8" ht="12.75" customHeight="1" x14ac:dyDescent="0.25">
      <c r="F974" s="36"/>
      <c r="G974" s="36"/>
      <c r="H974" s="36"/>
    </row>
    <row r="975" spans="6:8" ht="12.75" customHeight="1" x14ac:dyDescent="0.25">
      <c r="F975" s="36"/>
      <c r="G975" s="36"/>
      <c r="H975" s="36"/>
    </row>
    <row r="976" spans="6:8" ht="12.75" customHeight="1" x14ac:dyDescent="0.25">
      <c r="F976" s="36"/>
      <c r="G976" s="36"/>
      <c r="H976" s="36"/>
    </row>
    <row r="977" spans="6:8" ht="12.75" customHeight="1" x14ac:dyDescent="0.25">
      <c r="F977" s="36"/>
      <c r="G977" s="36"/>
      <c r="H977" s="36"/>
    </row>
    <row r="978" spans="6:8" ht="12.75" customHeight="1" x14ac:dyDescent="0.25">
      <c r="F978" s="36"/>
      <c r="G978" s="36"/>
      <c r="H978" s="36"/>
    </row>
    <row r="979" spans="6:8" ht="12.75" customHeight="1" x14ac:dyDescent="0.25">
      <c r="F979" s="36"/>
      <c r="G979" s="36"/>
      <c r="H979" s="36"/>
    </row>
    <row r="980" spans="6:8" ht="12.75" customHeight="1" x14ac:dyDescent="0.25">
      <c r="F980" s="36"/>
      <c r="G980" s="36"/>
      <c r="H980" s="36"/>
    </row>
    <row r="981" spans="6:8" ht="12.75" customHeight="1" x14ac:dyDescent="0.25">
      <c r="F981" s="36"/>
      <c r="G981" s="36"/>
      <c r="H981" s="36"/>
    </row>
    <row r="982" spans="6:8" ht="12.75" customHeight="1" x14ac:dyDescent="0.25">
      <c r="F982" s="36"/>
      <c r="G982" s="36"/>
      <c r="H982" s="36"/>
    </row>
    <row r="983" spans="6:8" ht="12.75" customHeight="1" x14ac:dyDescent="0.25">
      <c r="F983" s="36"/>
      <c r="G983" s="36"/>
      <c r="H983" s="36"/>
    </row>
    <row r="984" spans="6:8" ht="12.75" customHeight="1" x14ac:dyDescent="0.25">
      <c r="F984" s="36"/>
      <c r="G984" s="36"/>
      <c r="H984" s="36"/>
    </row>
    <row r="985" spans="6:8" ht="12.75" customHeight="1" x14ac:dyDescent="0.25">
      <c r="F985" s="36"/>
      <c r="G985" s="36"/>
      <c r="H985" s="36"/>
    </row>
    <row r="986" spans="6:8" ht="12.75" customHeight="1" x14ac:dyDescent="0.25">
      <c r="F986" s="36"/>
      <c r="G986" s="36"/>
      <c r="H986" s="36"/>
    </row>
    <row r="987" spans="6:8" ht="12.75" customHeight="1" x14ac:dyDescent="0.25">
      <c r="F987" s="36"/>
      <c r="G987" s="36"/>
      <c r="H987" s="36"/>
    </row>
    <row r="988" spans="6:8" ht="12.75" customHeight="1" x14ac:dyDescent="0.25">
      <c r="F988" s="36"/>
      <c r="G988" s="36"/>
      <c r="H988" s="36"/>
    </row>
    <row r="989" spans="6:8" ht="12.75" customHeight="1" x14ac:dyDescent="0.25">
      <c r="F989" s="36"/>
      <c r="G989" s="36"/>
      <c r="H989" s="36"/>
    </row>
    <row r="990" spans="6:8" ht="12.75" customHeight="1" x14ac:dyDescent="0.25">
      <c r="F990" s="36"/>
      <c r="G990" s="36"/>
      <c r="H990" s="36"/>
    </row>
    <row r="991" spans="6:8" ht="12.75" customHeight="1" x14ac:dyDescent="0.25">
      <c r="F991" s="36"/>
      <c r="G991" s="36"/>
      <c r="H991" s="36"/>
    </row>
    <row r="992" spans="6:8" ht="12.75" customHeight="1" x14ac:dyDescent="0.25">
      <c r="F992" s="36"/>
      <c r="G992" s="36"/>
      <c r="H992" s="36"/>
    </row>
    <row r="993" spans="6:8" ht="12.75" customHeight="1" x14ac:dyDescent="0.25">
      <c r="F993" s="36"/>
      <c r="G993" s="36"/>
      <c r="H993" s="36"/>
    </row>
    <row r="994" spans="6:8" ht="12.75" customHeight="1" x14ac:dyDescent="0.25">
      <c r="F994" s="36"/>
      <c r="G994" s="36"/>
      <c r="H994" s="36"/>
    </row>
    <row r="995" spans="6:8" ht="12.75" customHeight="1" x14ac:dyDescent="0.25">
      <c r="F995" s="36"/>
      <c r="G995" s="36"/>
      <c r="H995" s="36"/>
    </row>
    <row r="996" spans="6:8" ht="12.75" customHeight="1" x14ac:dyDescent="0.25">
      <c r="F996" s="36"/>
      <c r="G996" s="36"/>
      <c r="H996" s="36"/>
    </row>
    <row r="997" spans="6:8" ht="12.75" customHeight="1" x14ac:dyDescent="0.25">
      <c r="F997" s="36"/>
      <c r="G997" s="36"/>
      <c r="H997" s="36"/>
    </row>
    <row r="998" spans="6:8" ht="12.75" customHeight="1" x14ac:dyDescent="0.25">
      <c r="F998" s="36"/>
      <c r="G998" s="36"/>
      <c r="H998" s="36"/>
    </row>
    <row r="999" spans="6:8" ht="12.75" customHeight="1" x14ac:dyDescent="0.25">
      <c r="F999" s="36"/>
      <c r="G999" s="36"/>
      <c r="H999" s="36"/>
    </row>
    <row r="1000" spans="6:8" ht="12.75" customHeight="1" x14ac:dyDescent="0.25">
      <c r="F1000" s="36"/>
      <c r="G1000" s="36"/>
      <c r="H1000" s="36"/>
    </row>
  </sheetData>
  <mergeCells count="1">
    <mergeCell ref="I4:K4"/>
  </mergeCells>
  <dataValidations disablePrompts="1" count="1">
    <dataValidation type="list" allowBlank="1" showErrorMessage="1" sqref="F1" xr:uid="{00000000-0002-0000-0A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972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4296875" defaultRowHeight="15" customHeight="1" x14ac:dyDescent="0.25"/>
  <cols>
    <col min="1" max="1" width="6.1796875" customWidth="1"/>
    <col min="2" max="3" width="8.54296875" customWidth="1"/>
    <col min="4" max="4" width="10.1796875" customWidth="1"/>
    <col min="5" max="5" width="36.1796875" customWidth="1"/>
    <col min="6" max="6" width="13.453125" customWidth="1"/>
    <col min="7" max="8" width="14.81640625" customWidth="1"/>
    <col min="9" max="9" width="16.81640625" customWidth="1"/>
    <col min="10" max="10" width="11.81640625" customWidth="1"/>
    <col min="11" max="11" width="8.54296875" customWidth="1"/>
    <col min="12" max="12" width="18.81640625" customWidth="1"/>
    <col min="13" max="26" width="8.54296875" customWidth="1"/>
  </cols>
  <sheetData>
    <row r="1" spans="1:18" ht="12.75" customHeight="1" x14ac:dyDescent="0.25">
      <c r="C1" t="s">
        <v>123</v>
      </c>
      <c r="D1" s="160" t="s">
        <v>145</v>
      </c>
      <c r="E1" s="102"/>
      <c r="F1" s="102"/>
      <c r="G1" s="148" t="s">
        <v>119</v>
      </c>
      <c r="H1" s="34"/>
      <c r="I1" s="145"/>
      <c r="J1" s="120"/>
    </row>
    <row r="2" spans="1:18" ht="12.75" customHeight="1" x14ac:dyDescent="0.25">
      <c r="D2" t="s">
        <v>142</v>
      </c>
      <c r="E2" s="102"/>
      <c r="F2" s="146"/>
      <c r="G2" s="149">
        <v>5</v>
      </c>
      <c r="H2" s="103"/>
      <c r="I2" s="153" t="s">
        <v>41</v>
      </c>
      <c r="J2" s="102"/>
    </row>
    <row r="3" spans="1:18" ht="12.75" customHeight="1" x14ac:dyDescent="0.35">
      <c r="A3" s="30">
        <f>COUNTIF(A5:A65479, "&lt;&gt;")+4</f>
        <v>102</v>
      </c>
      <c r="D3" s="35">
        <f t="array" ref="D3">INDEX(D6:D65478, A3)</f>
        <v>0</v>
      </c>
      <c r="E3" s="120"/>
      <c r="F3" s="103"/>
      <c r="G3" s="147" t="s">
        <v>40</v>
      </c>
      <c r="H3" s="150" cm="1">
        <f t="array" ref="H3">INDEX(H6:H65478, A3)</f>
        <v>0</v>
      </c>
      <c r="I3" s="152">
        <v>45666</v>
      </c>
      <c r="J3" s="103"/>
    </row>
    <row r="4" spans="1:18" ht="12.75" customHeight="1" x14ac:dyDescent="0.25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8" ht="12.75" customHeight="1" x14ac:dyDescent="0.3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8" ht="12.75" customHeight="1" x14ac:dyDescent="0.3">
      <c r="A6" s="51" t="s">
        <v>84</v>
      </c>
      <c r="B6" s="51"/>
      <c r="C6" s="51" t="str">
        <f>IFERROR("Rent: "&amp;FIND("Rent",A6),IFERROR("Priv Tax: "&amp;FIND("Tax",A6), IFERROR("Income: "&amp;FIND("Payment",A6,1),"")))</f>
        <v/>
      </c>
      <c r="D6" s="95" t="s">
        <v>87</v>
      </c>
      <c r="E6" s="159"/>
      <c r="F6" s="96"/>
      <c r="G6" s="96"/>
      <c r="H6" s="96"/>
      <c r="I6" s="120"/>
      <c r="J6" s="120"/>
      <c r="K6" s="120"/>
      <c r="L6" s="120"/>
      <c r="M6" s="120"/>
    </row>
    <row r="7" spans="1:18" ht="12.75" customHeight="1" x14ac:dyDescent="0.25">
      <c r="A7" s="37">
        <f t="shared" ref="A7:A30" si="0">MONTH(D7)</f>
        <v>3</v>
      </c>
      <c r="B7" s="37">
        <f t="shared" ref="B7:B30" si="1">YEAR(D7)</f>
        <v>2020</v>
      </c>
      <c r="C7" s="37" t="str">
        <f t="shared" ref="C7:C30" si="2">IFERROR("Rent: "&amp;FIND("Rent",E7),IFERROR("Priv Tax: "&amp;FIND("Tax",E7), IFERROR("Income: "&amp;FIND("Payment",E7,1),"")))</f>
        <v>Rent: 1</v>
      </c>
      <c r="D7" s="40">
        <v>43918</v>
      </c>
      <c r="E7" s="39" t="str">
        <f>"Rent: "&amp;LOOKUP(A7-1, Months, TextMonths)&amp;" '"&amp;B7</f>
        <v>Rent: Mar '2020</v>
      </c>
      <c r="F7" s="36"/>
      <c r="G7" s="36">
        <v>1350</v>
      </c>
      <c r="H7" s="38">
        <f t="shared" ref="H7:H30" si="3">H6+G7-F7</f>
        <v>1350</v>
      </c>
      <c r="I7" s="120"/>
      <c r="J7" s="120"/>
      <c r="K7" s="120"/>
      <c r="L7" s="120"/>
      <c r="M7" s="120"/>
      <c r="N7" s="30"/>
      <c r="P7" s="30"/>
      <c r="R7" s="30"/>
    </row>
    <row r="8" spans="1:18" ht="12.75" customHeight="1" x14ac:dyDescent="0.35">
      <c r="A8" s="37">
        <f t="shared" si="0"/>
        <v>3</v>
      </c>
      <c r="B8" s="37">
        <f t="shared" si="1"/>
        <v>2020</v>
      </c>
      <c r="C8" s="37" t="str">
        <f t="shared" si="2"/>
        <v/>
      </c>
      <c r="D8" s="28">
        <v>43918</v>
      </c>
      <c r="E8" s="1" t="s">
        <v>85</v>
      </c>
      <c r="F8" s="36"/>
      <c r="G8" s="36">
        <v>1350</v>
      </c>
      <c r="H8" s="58">
        <f t="shared" si="3"/>
        <v>2700</v>
      </c>
      <c r="I8" s="120"/>
      <c r="J8" s="120"/>
      <c r="K8" s="120"/>
      <c r="L8" s="120"/>
      <c r="M8" s="120"/>
      <c r="N8" s="30"/>
      <c r="O8" s="30"/>
      <c r="P8" s="31"/>
      <c r="R8" s="31"/>
    </row>
    <row r="9" spans="1:18" ht="12.75" customHeight="1" x14ac:dyDescent="0.25">
      <c r="A9" s="37">
        <f t="shared" si="0"/>
        <v>3</v>
      </c>
      <c r="B9" s="37">
        <f t="shared" si="1"/>
        <v>2020</v>
      </c>
      <c r="C9" s="37" t="str">
        <f t="shared" si="2"/>
        <v/>
      </c>
      <c r="D9" s="28">
        <v>43918</v>
      </c>
      <c r="E9" s="29" t="s">
        <v>86</v>
      </c>
      <c r="F9" s="36"/>
      <c r="G9" s="36">
        <v>200</v>
      </c>
      <c r="H9" s="58">
        <f t="shared" si="3"/>
        <v>2900</v>
      </c>
      <c r="I9" s="120"/>
      <c r="J9" s="120"/>
      <c r="K9" s="120"/>
      <c r="L9" s="157"/>
      <c r="M9" s="120"/>
      <c r="N9" s="30"/>
      <c r="O9" s="30"/>
      <c r="P9" s="31"/>
      <c r="R9" s="31"/>
    </row>
    <row r="10" spans="1:18" ht="12.75" customHeight="1" x14ac:dyDescent="0.35">
      <c r="A10" s="37">
        <f t="shared" si="0"/>
        <v>3</v>
      </c>
      <c r="B10" s="37">
        <f t="shared" si="1"/>
        <v>2020</v>
      </c>
      <c r="C10" s="37" t="str">
        <f t="shared" si="2"/>
        <v>Income: 1</v>
      </c>
      <c r="D10" s="28">
        <v>43901</v>
      </c>
      <c r="E10" s="1" t="s">
        <v>51</v>
      </c>
      <c r="F10" s="36">
        <v>500</v>
      </c>
      <c r="G10" s="36"/>
      <c r="H10" s="38">
        <f t="shared" si="3"/>
        <v>2400</v>
      </c>
      <c r="I10" s="120"/>
      <c r="J10" s="120"/>
      <c r="K10" s="120"/>
      <c r="L10" s="120"/>
      <c r="M10" s="120"/>
      <c r="Q10" s="30"/>
      <c r="R10" s="31"/>
    </row>
    <row r="11" spans="1:18" ht="12.75" customHeight="1" x14ac:dyDescent="0.35">
      <c r="A11" s="37">
        <f t="shared" si="0"/>
        <v>3</v>
      </c>
      <c r="B11" s="37">
        <f t="shared" si="1"/>
        <v>2020</v>
      </c>
      <c r="C11" s="37" t="str">
        <f t="shared" si="2"/>
        <v>Income: 1</v>
      </c>
      <c r="D11" s="28">
        <v>43902</v>
      </c>
      <c r="E11" s="1" t="s">
        <v>51</v>
      </c>
      <c r="F11" s="36">
        <v>500</v>
      </c>
      <c r="G11" s="36"/>
      <c r="H11" s="38">
        <f t="shared" si="3"/>
        <v>1900</v>
      </c>
      <c r="I11" s="157"/>
      <c r="J11" s="120"/>
      <c r="K11" s="103"/>
      <c r="L11" s="103"/>
      <c r="M11" s="120"/>
      <c r="Q11" s="30"/>
      <c r="R11" s="31"/>
    </row>
    <row r="12" spans="1:18" ht="12.75" customHeight="1" x14ac:dyDescent="0.35">
      <c r="A12" s="37">
        <f t="shared" si="0"/>
        <v>3</v>
      </c>
      <c r="B12" s="37">
        <f t="shared" si="1"/>
        <v>2020</v>
      </c>
      <c r="C12" s="37" t="str">
        <f t="shared" si="2"/>
        <v>Income: 1</v>
      </c>
      <c r="D12" s="28">
        <v>43903</v>
      </c>
      <c r="E12" s="1" t="s">
        <v>51</v>
      </c>
      <c r="F12" s="36">
        <v>350</v>
      </c>
      <c r="G12" s="36"/>
      <c r="H12" s="38">
        <f t="shared" si="3"/>
        <v>1550</v>
      </c>
      <c r="I12" s="120"/>
      <c r="J12" s="120"/>
      <c r="K12" s="120"/>
      <c r="L12" s="102"/>
      <c r="M12" s="120"/>
      <c r="Q12" s="30"/>
      <c r="R12" s="31"/>
    </row>
    <row r="13" spans="1:18" ht="12.75" customHeight="1" x14ac:dyDescent="0.35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43918</v>
      </c>
      <c r="E13" s="1" t="s">
        <v>51</v>
      </c>
      <c r="F13" s="36">
        <v>1550</v>
      </c>
      <c r="G13" s="36"/>
      <c r="H13" s="38">
        <f t="shared" si="3"/>
        <v>0</v>
      </c>
      <c r="I13" s="120"/>
      <c r="J13" s="120"/>
      <c r="K13" s="120"/>
      <c r="L13" s="120"/>
      <c r="M13" s="120"/>
    </row>
    <row r="14" spans="1:18" ht="12.75" customHeight="1" x14ac:dyDescent="0.25">
      <c r="A14" s="37">
        <f t="shared" si="0"/>
        <v>4</v>
      </c>
      <c r="B14" s="37">
        <f t="shared" si="1"/>
        <v>2021</v>
      </c>
      <c r="C14" s="37" t="str">
        <f t="shared" si="2"/>
        <v>Rent: 1</v>
      </c>
      <c r="D14" s="40" t="str">
        <f>MOD(MONTH(D13), 12)+1 &amp; "/28/" &amp; YEAR(D13)+1</f>
        <v>4/28/2021</v>
      </c>
      <c r="E14" s="39" t="str">
        <f>"Rent: "&amp;LOOKUP(A14-1, Months, TextMonths)&amp;" '"&amp;B14</f>
        <v>Rent: Apr '2021</v>
      </c>
      <c r="F14" s="36"/>
      <c r="G14" s="36">
        <v>1350</v>
      </c>
      <c r="H14" s="38">
        <f t="shared" si="3"/>
        <v>1350</v>
      </c>
      <c r="I14" s="120"/>
      <c r="J14" s="120"/>
      <c r="K14" s="120"/>
      <c r="L14" s="102"/>
      <c r="M14" s="120"/>
    </row>
    <row r="15" spans="1:18" ht="12.75" customHeight="1" x14ac:dyDescent="0.35">
      <c r="A15" s="37">
        <f t="shared" si="0"/>
        <v>5</v>
      </c>
      <c r="B15" s="37">
        <f t="shared" si="1"/>
        <v>2020</v>
      </c>
      <c r="C15" s="37" t="str">
        <f t="shared" si="2"/>
        <v>Income: 1</v>
      </c>
      <c r="D15" s="28">
        <v>43955</v>
      </c>
      <c r="E15" s="1" t="s">
        <v>51</v>
      </c>
      <c r="F15" s="36">
        <v>1350</v>
      </c>
      <c r="G15" s="36"/>
      <c r="H15" s="38">
        <f t="shared" si="3"/>
        <v>0</v>
      </c>
      <c r="I15" s="120"/>
      <c r="J15" s="120"/>
      <c r="K15" s="120"/>
      <c r="L15" s="120"/>
      <c r="M15" s="120"/>
    </row>
    <row r="16" spans="1:18" ht="12.75" customHeight="1" x14ac:dyDescent="0.25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MOD(MONTH(D15), 12) &amp; "/28/" &amp; YEAR(D15)</f>
        <v>5/28/2020</v>
      </c>
      <c r="E16" s="39" t="str">
        <f>"Rent: "&amp;LOOKUP(A16-1, Months, TextMonths)&amp;" '"&amp;B16</f>
        <v>Rent: May '2020</v>
      </c>
      <c r="F16" s="36"/>
      <c r="G16" s="36">
        <v>1350</v>
      </c>
      <c r="H16" s="38">
        <f t="shared" si="3"/>
        <v>1350</v>
      </c>
      <c r="I16" s="120"/>
      <c r="J16" s="120"/>
      <c r="K16" s="120"/>
      <c r="L16" s="120"/>
      <c r="M16" s="120"/>
    </row>
    <row r="17" spans="1:13" ht="12.75" customHeight="1" x14ac:dyDescent="0.35">
      <c r="A17" s="37">
        <f t="shared" si="0"/>
        <v>6</v>
      </c>
      <c r="B17" s="37">
        <f t="shared" si="1"/>
        <v>2020</v>
      </c>
      <c r="C17" s="37" t="str">
        <f t="shared" si="2"/>
        <v>Income: 1</v>
      </c>
      <c r="D17" s="28">
        <v>43983</v>
      </c>
      <c r="E17" s="1" t="s">
        <v>51</v>
      </c>
      <c r="F17" s="36">
        <v>1350</v>
      </c>
      <c r="G17" s="36"/>
      <c r="H17" s="38">
        <f t="shared" si="3"/>
        <v>0</v>
      </c>
      <c r="I17" s="120"/>
      <c r="J17" s="120"/>
      <c r="K17" s="120"/>
      <c r="L17" s="102"/>
      <c r="M17" s="120"/>
    </row>
    <row r="18" spans="1:13" ht="12.75" customHeight="1" x14ac:dyDescent="0.25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MOD(MONTH(D17), 12) &amp; "/28/" &amp; YEAR(D17)</f>
        <v>6/28/2020</v>
      </c>
      <c r="E18" s="39" t="str">
        <f>"Rent: "&amp;LOOKUP(A18-1, Months, TextMonths)&amp;" '"&amp;B18</f>
        <v>Rent: Jun '2020</v>
      </c>
      <c r="F18" s="36"/>
      <c r="G18" s="36">
        <v>1350</v>
      </c>
      <c r="H18" s="38">
        <f t="shared" si="3"/>
        <v>1350</v>
      </c>
      <c r="I18" s="120"/>
      <c r="J18" s="120"/>
      <c r="K18" s="120"/>
      <c r="L18" s="120"/>
      <c r="M18" s="120"/>
    </row>
    <row r="19" spans="1:13" ht="12.75" customHeight="1" x14ac:dyDescent="0.35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44012</v>
      </c>
      <c r="E19" s="1" t="s">
        <v>51</v>
      </c>
      <c r="F19" s="36">
        <v>1350</v>
      </c>
      <c r="G19" s="36"/>
      <c r="H19" s="38">
        <f t="shared" si="3"/>
        <v>0</v>
      </c>
      <c r="I19" s="120"/>
      <c r="J19" s="120"/>
      <c r="K19" s="120"/>
      <c r="L19" s="102"/>
      <c r="M19" s="120"/>
    </row>
    <row r="20" spans="1:13" ht="12.75" customHeight="1" x14ac:dyDescent="0.25">
      <c r="A20" s="37">
        <f t="shared" si="0"/>
        <v>7</v>
      </c>
      <c r="B20" s="37">
        <f t="shared" si="1"/>
        <v>2020</v>
      </c>
      <c r="C20" s="37" t="str">
        <f t="shared" si="2"/>
        <v>Rent: 1</v>
      </c>
      <c r="D20" s="40" t="str">
        <f>MOD(MONTH(D19), 12)+1 &amp; "/28/" &amp; YEAR(D19)</f>
        <v>7/28/2020</v>
      </c>
      <c r="E20" s="39" t="str">
        <f>"Rent: "&amp;LOOKUP(A20-1, Months, TextMonths)&amp;" '"&amp;B20</f>
        <v>Rent: Jul '2020</v>
      </c>
      <c r="F20" s="36"/>
      <c r="G20" s="36">
        <v>1350</v>
      </c>
      <c r="H20" s="38">
        <f t="shared" si="3"/>
        <v>1350</v>
      </c>
      <c r="I20" s="157"/>
      <c r="J20" s="120"/>
      <c r="K20" s="120"/>
      <c r="L20" s="120"/>
      <c r="M20" s="120"/>
    </row>
    <row r="21" spans="1:13" ht="12.75" customHeight="1" x14ac:dyDescent="0.35">
      <c r="A21" s="37">
        <f t="shared" si="0"/>
        <v>7</v>
      </c>
      <c r="B21" s="37">
        <f t="shared" si="1"/>
        <v>2020</v>
      </c>
      <c r="C21" s="37" t="str">
        <f t="shared" si="2"/>
        <v>Income: 1</v>
      </c>
      <c r="D21" s="28">
        <v>44043</v>
      </c>
      <c r="E21" s="1" t="s">
        <v>51</v>
      </c>
      <c r="F21" s="36">
        <v>1350</v>
      </c>
      <c r="G21" s="36"/>
      <c r="H21" s="38">
        <f t="shared" si="3"/>
        <v>0</v>
      </c>
      <c r="I21" s="120"/>
      <c r="J21" s="120"/>
      <c r="K21" s="120"/>
      <c r="L21" s="102"/>
      <c r="M21" s="120"/>
    </row>
    <row r="22" spans="1:13" ht="12.75" customHeight="1" x14ac:dyDescent="0.25">
      <c r="A22" s="37">
        <f t="shared" si="0"/>
        <v>8</v>
      </c>
      <c r="B22" s="37">
        <f t="shared" si="1"/>
        <v>2020</v>
      </c>
      <c r="C22" s="37" t="str">
        <f t="shared" si="2"/>
        <v>Rent: 1</v>
      </c>
      <c r="D22" s="40" t="str">
        <f>MOD(MONTH(D21)+1, 12) &amp; "/28/" &amp; YEAR(D21)</f>
        <v>8/28/2020</v>
      </c>
      <c r="E22" s="39" t="str">
        <f>"Rent: "&amp;LOOKUP(A22-1, Months, TextMonths)&amp;" '"&amp;B22</f>
        <v>Rent: Aug '2020</v>
      </c>
      <c r="F22" s="36"/>
      <c r="G22" s="36">
        <v>1350</v>
      </c>
      <c r="H22" s="38">
        <f t="shared" si="3"/>
        <v>1350</v>
      </c>
      <c r="I22" s="120"/>
      <c r="J22" s="120"/>
      <c r="K22" s="120"/>
      <c r="L22" s="120"/>
      <c r="M22" s="120"/>
    </row>
    <row r="23" spans="1:13" ht="12.75" customHeight="1" x14ac:dyDescent="0.35">
      <c r="A23" s="37">
        <f t="shared" si="0"/>
        <v>8</v>
      </c>
      <c r="B23" s="37">
        <f t="shared" si="1"/>
        <v>2020</v>
      </c>
      <c r="C23" s="37" t="str">
        <f t="shared" si="2"/>
        <v>Income: 1</v>
      </c>
      <c r="D23" s="28">
        <v>44074</v>
      </c>
      <c r="E23" s="1" t="s">
        <v>51</v>
      </c>
      <c r="F23" s="36">
        <v>1350</v>
      </c>
      <c r="G23" s="36"/>
      <c r="H23" s="38">
        <f t="shared" si="3"/>
        <v>0</v>
      </c>
      <c r="I23" s="102"/>
      <c r="J23" s="157"/>
      <c r="K23" s="120"/>
      <c r="L23" s="102"/>
      <c r="M23" s="120"/>
    </row>
    <row r="24" spans="1:13" ht="12.75" customHeight="1" x14ac:dyDescent="0.25">
      <c r="A24" s="37">
        <f t="shared" si="0"/>
        <v>9</v>
      </c>
      <c r="B24" s="37">
        <f t="shared" si="1"/>
        <v>2020</v>
      </c>
      <c r="C24" s="37" t="str">
        <f t="shared" si="2"/>
        <v>Rent: 1</v>
      </c>
      <c r="D24" s="40" t="str">
        <f>MOD(MONTH(D23)+1, 12) &amp; "/28/" &amp; YEAR(D23)</f>
        <v>9/28/2020</v>
      </c>
      <c r="E24" s="39" t="str">
        <f>"Rent: "&amp;LOOKUP(A24-1, Months, TextMonths)&amp;" '"&amp;B24</f>
        <v>Rent: Sep '2020</v>
      </c>
      <c r="F24" s="36"/>
      <c r="G24" s="36">
        <v>1350</v>
      </c>
      <c r="H24" s="38">
        <f t="shared" si="3"/>
        <v>1350</v>
      </c>
      <c r="I24" s="146"/>
      <c r="J24" s="146"/>
      <c r="K24" s="157"/>
      <c r="L24" s="120"/>
      <c r="M24" s="120"/>
    </row>
    <row r="25" spans="1:13" ht="12.75" customHeight="1" x14ac:dyDescent="0.35">
      <c r="A25" s="37">
        <f t="shared" si="0"/>
        <v>10</v>
      </c>
      <c r="B25" s="37">
        <f t="shared" si="1"/>
        <v>2020</v>
      </c>
      <c r="C25" s="37" t="str">
        <f t="shared" si="2"/>
        <v>Income: 1</v>
      </c>
      <c r="D25" s="28">
        <v>44106</v>
      </c>
      <c r="E25" s="1" t="s">
        <v>51</v>
      </c>
      <c r="F25" s="36">
        <v>1350</v>
      </c>
      <c r="G25" s="36"/>
      <c r="H25" s="38">
        <f t="shared" si="3"/>
        <v>0</v>
      </c>
      <c r="I25" s="120"/>
      <c r="J25" s="120"/>
      <c r="K25" s="120"/>
      <c r="L25" s="102"/>
      <c r="M25" s="120"/>
    </row>
    <row r="26" spans="1:13" ht="12.75" customHeight="1" x14ac:dyDescent="0.25">
      <c r="A26" s="37">
        <f t="shared" si="0"/>
        <v>10</v>
      </c>
      <c r="B26" s="37">
        <f t="shared" si="1"/>
        <v>2020</v>
      </c>
      <c r="C26" s="37" t="str">
        <f t="shared" si="2"/>
        <v>Rent: 1</v>
      </c>
      <c r="D26" s="40" t="str">
        <f>MOD(MONTH(D25), 12) &amp; "/28/" &amp; YEAR(D25)</f>
        <v>10/28/2020</v>
      </c>
      <c r="E26" s="39" t="str">
        <f>"Rent: "&amp;LOOKUP(A26-1, Months, TextMonths)&amp;" '"&amp;B26</f>
        <v>Rent: Oct '2020</v>
      </c>
      <c r="F26" s="36"/>
      <c r="G26" s="36">
        <v>1350</v>
      </c>
      <c r="H26" s="38">
        <f t="shared" si="3"/>
        <v>1350</v>
      </c>
      <c r="I26" s="120"/>
      <c r="J26" s="120"/>
      <c r="K26" s="120"/>
      <c r="L26" s="120"/>
      <c r="M26" s="120"/>
    </row>
    <row r="27" spans="1:13" ht="12.75" customHeight="1" x14ac:dyDescent="0.35">
      <c r="A27" s="37">
        <f t="shared" si="0"/>
        <v>11</v>
      </c>
      <c r="B27" s="37">
        <f t="shared" si="1"/>
        <v>2020</v>
      </c>
      <c r="C27" s="37" t="str">
        <f t="shared" si="2"/>
        <v>Income: 1</v>
      </c>
      <c r="D27" s="28">
        <v>44137</v>
      </c>
      <c r="E27" s="1" t="s">
        <v>51</v>
      </c>
      <c r="F27" s="36">
        <v>750</v>
      </c>
      <c r="G27" s="36"/>
      <c r="H27" s="38">
        <f t="shared" si="3"/>
        <v>600</v>
      </c>
      <c r="I27" s="120"/>
      <c r="J27" s="120"/>
      <c r="K27" s="120"/>
      <c r="L27" s="102"/>
      <c r="M27" s="120"/>
    </row>
    <row r="28" spans="1:13" ht="12.75" customHeight="1" x14ac:dyDescent="0.35">
      <c r="A28" s="37">
        <f t="shared" si="0"/>
        <v>11</v>
      </c>
      <c r="B28" s="37">
        <f t="shared" si="1"/>
        <v>2020</v>
      </c>
      <c r="C28" s="37" t="str">
        <f t="shared" si="2"/>
        <v>Income: 1</v>
      </c>
      <c r="D28" s="28">
        <v>44141</v>
      </c>
      <c r="E28" s="1" t="s">
        <v>51</v>
      </c>
      <c r="F28" s="36">
        <v>400</v>
      </c>
      <c r="G28" s="36"/>
      <c r="H28" s="38">
        <f t="shared" si="3"/>
        <v>200</v>
      </c>
      <c r="I28" s="120"/>
      <c r="J28" s="120"/>
      <c r="K28" s="120"/>
      <c r="L28" s="120"/>
      <c r="M28" s="120"/>
    </row>
    <row r="29" spans="1:13" ht="12.75" customHeight="1" x14ac:dyDescent="0.35">
      <c r="A29" s="37">
        <f t="shared" si="0"/>
        <v>11</v>
      </c>
      <c r="B29" s="37">
        <f t="shared" si="1"/>
        <v>2020</v>
      </c>
      <c r="C29" s="37" t="str">
        <f t="shared" si="2"/>
        <v>Income: 1</v>
      </c>
      <c r="D29" s="28">
        <v>44148</v>
      </c>
      <c r="E29" s="1" t="s">
        <v>51</v>
      </c>
      <c r="F29" s="36">
        <v>200</v>
      </c>
      <c r="G29" s="36"/>
      <c r="H29" s="38">
        <f t="shared" si="3"/>
        <v>0</v>
      </c>
      <c r="I29" s="120"/>
      <c r="J29" s="120"/>
      <c r="K29" s="120"/>
      <c r="L29" s="102"/>
      <c r="M29" s="120"/>
    </row>
    <row r="30" spans="1:13" ht="12.75" customHeight="1" x14ac:dyDescent="0.25">
      <c r="A30" s="37">
        <f t="shared" si="0"/>
        <v>11</v>
      </c>
      <c r="B30" s="37">
        <f t="shared" si="1"/>
        <v>2020</v>
      </c>
      <c r="C30" s="37" t="str">
        <f t="shared" si="2"/>
        <v>Rent: 1</v>
      </c>
      <c r="D30" s="40" t="str">
        <f>MOD(MONTH(D29), 12) &amp; "/28/" &amp; YEAR(D29)</f>
        <v>11/28/2020</v>
      </c>
      <c r="E30" s="39" t="str">
        <f>"Rent: "&amp;LOOKUP(A30-1, Months, TextMonths)&amp;" '"&amp;B30</f>
        <v>Rent: Nov '2020</v>
      </c>
      <c r="F30" s="36"/>
      <c r="G30" s="36">
        <v>5</v>
      </c>
      <c r="H30" s="38">
        <f t="shared" si="3"/>
        <v>5</v>
      </c>
      <c r="I30" s="120"/>
      <c r="J30" s="120"/>
      <c r="K30" s="120"/>
      <c r="L30" s="120"/>
      <c r="M30" s="120"/>
    </row>
    <row r="31" spans="1:13" ht="14.25" customHeight="1" x14ac:dyDescent="0.25">
      <c r="A31" s="37">
        <f>MONTH(D31)</f>
        <v>11</v>
      </c>
      <c r="B31" s="37">
        <f>YEAR(D31)</f>
        <v>2020</v>
      </c>
      <c r="C31" s="37"/>
      <c r="D31" s="28">
        <v>44163</v>
      </c>
      <c r="E31" s="39" t="s">
        <v>88</v>
      </c>
      <c r="F31" s="36"/>
      <c r="G31" s="36"/>
      <c r="H31" s="38"/>
      <c r="I31" s="120"/>
      <c r="J31" s="120"/>
      <c r="K31" s="120"/>
      <c r="L31" s="120"/>
      <c r="M31" s="120"/>
    </row>
    <row r="32" spans="1:13" ht="12.75" customHeight="1" x14ac:dyDescent="0.35">
      <c r="A32" s="37">
        <f>MONTH(D32)</f>
        <v>11</v>
      </c>
      <c r="B32" s="37">
        <f>YEAR(D32)</f>
        <v>2020</v>
      </c>
      <c r="C32" s="37" t="str">
        <f t="shared" ref="C32:C33" si="4">IFERROR("Rent: "&amp;FIND("Rent",E32),IFERROR("Priv Tax: "&amp;FIND("Tax",E32), IFERROR("Income: "&amp;FIND("Payment",E32,1),"")))</f>
        <v/>
      </c>
      <c r="D32" s="53">
        <v>44163</v>
      </c>
      <c r="E32" s="172" t="s">
        <v>147</v>
      </c>
      <c r="F32" s="54">
        <v>1350</v>
      </c>
      <c r="G32" s="54"/>
      <c r="H32" s="54">
        <v>0</v>
      </c>
      <c r="I32" s="29"/>
      <c r="J32" s="29"/>
      <c r="K32" s="29"/>
      <c r="L32" s="102"/>
    </row>
    <row r="33" spans="1:13" ht="12.75" customHeight="1" x14ac:dyDescent="0.3">
      <c r="A33" s="55">
        <f>MONTH(D33)</f>
        <v>11</v>
      </c>
      <c r="B33" s="55">
        <f>YEAR(D33)</f>
        <v>2020</v>
      </c>
      <c r="C33" s="55" t="str">
        <f t="shared" si="4"/>
        <v/>
      </c>
      <c r="D33" s="165">
        <v>44163</v>
      </c>
      <c r="E33" s="173" t="s">
        <v>148</v>
      </c>
      <c r="F33" s="56"/>
      <c r="G33" s="56"/>
      <c r="H33" s="56"/>
      <c r="I33" s="29"/>
      <c r="J33" s="29"/>
      <c r="K33" s="29"/>
      <c r="L33" s="102"/>
    </row>
    <row r="34" spans="1:13" ht="14.25" customHeight="1" x14ac:dyDescent="0.3">
      <c r="A34" s="168" t="s">
        <v>84</v>
      </c>
      <c r="B34" s="144"/>
      <c r="C34" s="144"/>
      <c r="D34" s="169" t="s">
        <v>159</v>
      </c>
      <c r="E34" s="144" t="s">
        <v>164</v>
      </c>
      <c r="F34" s="156"/>
      <c r="G34" s="156"/>
      <c r="H34" s="156"/>
      <c r="I34" s="120"/>
      <c r="J34" s="120"/>
      <c r="K34" s="120"/>
      <c r="L34" s="120"/>
      <c r="M34" s="120"/>
    </row>
    <row r="35" spans="1:13" ht="12.75" customHeight="1" x14ac:dyDescent="0.35">
      <c r="A35" s="37">
        <f t="shared" ref="A35:A86" si="5">MONTH(D35)</f>
        <v>1</v>
      </c>
      <c r="B35" s="37">
        <f t="shared" ref="B35:B86" si="6">YEAR(D35)</f>
        <v>2021</v>
      </c>
      <c r="C35" s="37" t="str">
        <f t="shared" ref="C35:C51" si="7">IFERROR("Rent: "&amp;FIND("Rent",E35),IFERROR("Priv Tax: "&amp;FIND("Tax",E35), IFERROR("Income: "&amp;FIND("Payment",E35,1),"")))</f>
        <v/>
      </c>
      <c r="D35" s="28">
        <v>44205</v>
      </c>
      <c r="E35" s="1" t="s">
        <v>85</v>
      </c>
      <c r="F35" s="36"/>
      <c r="G35" s="36">
        <v>1600</v>
      </c>
      <c r="H35" s="58">
        <f t="shared" ref="H35:H86" si="8">H34+G35-F35</f>
        <v>1600</v>
      </c>
      <c r="I35" s="120"/>
      <c r="J35" s="120"/>
      <c r="K35" s="120"/>
      <c r="L35" s="120"/>
      <c r="M35" s="120"/>
    </row>
    <row r="36" spans="1:13" ht="14.25" customHeight="1" x14ac:dyDescent="0.25">
      <c r="A36" s="37">
        <f t="shared" si="5"/>
        <v>1</v>
      </c>
      <c r="B36" s="37">
        <f t="shared" si="6"/>
        <v>2021</v>
      </c>
      <c r="C36" s="37" t="str">
        <f t="shared" si="7"/>
        <v/>
      </c>
      <c r="D36" s="28">
        <v>44205</v>
      </c>
      <c r="E36" s="29" t="s">
        <v>86</v>
      </c>
      <c r="F36" s="36"/>
      <c r="G36" s="36">
        <v>200</v>
      </c>
      <c r="H36" s="58">
        <f t="shared" si="8"/>
        <v>1800</v>
      </c>
      <c r="I36" s="120"/>
      <c r="J36" s="120"/>
      <c r="K36" s="120"/>
      <c r="L36" s="120"/>
      <c r="M36" s="120"/>
    </row>
    <row r="37" spans="1:13" ht="12.75" customHeight="1" x14ac:dyDescent="0.25">
      <c r="A37" s="37">
        <f t="shared" si="5"/>
        <v>1</v>
      </c>
      <c r="B37" s="37">
        <f t="shared" si="6"/>
        <v>2021</v>
      </c>
      <c r="C37" s="37" t="str">
        <f t="shared" si="7"/>
        <v>Rent: 1</v>
      </c>
      <c r="D37" s="40">
        <v>44206</v>
      </c>
      <c r="E37" s="39" t="str">
        <f>"Rent: "&amp;LOOKUP(A37-1, Months, TextMonths)&amp;" '"&amp;B37</f>
        <v>Rent: Jan '2021</v>
      </c>
      <c r="F37" s="36"/>
      <c r="G37" s="36">
        <v>1600</v>
      </c>
      <c r="H37" s="38">
        <f t="shared" si="8"/>
        <v>3400</v>
      </c>
      <c r="I37" s="120"/>
      <c r="J37" s="120"/>
      <c r="K37" s="120"/>
      <c r="L37" s="120"/>
      <c r="M37" s="120"/>
    </row>
    <row r="38" spans="1:13" ht="14.25" customHeight="1" x14ac:dyDescent="0.25">
      <c r="A38" s="37">
        <f t="shared" si="5"/>
        <v>1</v>
      </c>
      <c r="B38" s="37">
        <f t="shared" si="6"/>
        <v>2021</v>
      </c>
      <c r="C38" s="37" t="str">
        <f t="shared" si="7"/>
        <v>Income: 1</v>
      </c>
      <c r="D38" s="28">
        <v>44205</v>
      </c>
      <c r="E38" s="29" t="s">
        <v>51</v>
      </c>
      <c r="F38" s="36">
        <v>3400</v>
      </c>
      <c r="G38" s="36"/>
      <c r="H38" s="58">
        <f t="shared" si="8"/>
        <v>0</v>
      </c>
      <c r="I38" s="120"/>
      <c r="J38" s="120"/>
      <c r="K38" s="120"/>
      <c r="L38" s="120"/>
      <c r="M38" s="120"/>
    </row>
    <row r="39" spans="1:13" ht="12.75" customHeight="1" x14ac:dyDescent="0.25">
      <c r="A39" s="37">
        <f t="shared" si="5"/>
        <v>1</v>
      </c>
      <c r="B39" s="37">
        <f t="shared" si="6"/>
        <v>2021</v>
      </c>
      <c r="C39" s="37" t="str">
        <f t="shared" si="7"/>
        <v/>
      </c>
      <c r="D39" s="28">
        <v>44205</v>
      </c>
      <c r="E39" s="29" t="s">
        <v>89</v>
      </c>
      <c r="F39" s="36"/>
      <c r="G39" s="36">
        <v>500</v>
      </c>
      <c r="H39" s="58">
        <f t="shared" si="8"/>
        <v>500</v>
      </c>
      <c r="I39" s="102"/>
      <c r="J39" s="120"/>
      <c r="K39" s="120"/>
      <c r="L39" s="120"/>
      <c r="M39" s="120"/>
    </row>
    <row r="40" spans="1:13" ht="12.75" customHeight="1" x14ac:dyDescent="0.25">
      <c r="A40" s="37">
        <f t="shared" si="5"/>
        <v>2</v>
      </c>
      <c r="B40" s="37">
        <f t="shared" si="6"/>
        <v>2021</v>
      </c>
      <c r="C40" s="37" t="str">
        <f t="shared" si="7"/>
        <v>Rent: 1</v>
      </c>
      <c r="D40" s="40" t="str">
        <f>MOD(MONTH(D39), 12)+1 &amp; "/10/" &amp; YEAR(D39)</f>
        <v>2/10/2021</v>
      </c>
      <c r="E40" s="39" t="str">
        <f>"Rent: "&amp;LOOKUP(A40-1, Months, TextMonths)&amp;" '"&amp;B40</f>
        <v>Rent: Feb '2021</v>
      </c>
      <c r="F40" s="36"/>
      <c r="G40" s="36">
        <v>1550</v>
      </c>
      <c r="H40" s="58">
        <f t="shared" si="8"/>
        <v>2050</v>
      </c>
      <c r="I40" s="120"/>
      <c r="J40" s="120"/>
      <c r="K40" s="120"/>
      <c r="L40" s="120"/>
      <c r="M40" s="120"/>
    </row>
    <row r="41" spans="1:13" ht="14.25" customHeight="1" x14ac:dyDescent="0.25">
      <c r="A41" s="37">
        <f t="shared" si="5"/>
        <v>2</v>
      </c>
      <c r="B41" s="37">
        <f t="shared" si="6"/>
        <v>2021</v>
      </c>
      <c r="C41" s="37" t="str">
        <f t="shared" si="7"/>
        <v/>
      </c>
      <c r="D41" s="28">
        <v>44237</v>
      </c>
      <c r="E41" s="29" t="s">
        <v>90</v>
      </c>
      <c r="F41" s="36">
        <v>50</v>
      </c>
      <c r="G41" s="36"/>
      <c r="H41" s="58">
        <f t="shared" si="8"/>
        <v>2000</v>
      </c>
      <c r="I41" s="120"/>
      <c r="J41" s="120"/>
      <c r="K41" s="120"/>
      <c r="L41" s="120"/>
      <c r="M41" s="120"/>
    </row>
    <row r="42" spans="1:13" ht="12.75" customHeight="1" x14ac:dyDescent="0.25">
      <c r="A42" s="37">
        <f t="shared" si="5"/>
        <v>1</v>
      </c>
      <c r="B42" s="37">
        <f t="shared" si="6"/>
        <v>2021</v>
      </c>
      <c r="C42" s="37" t="str">
        <f t="shared" si="7"/>
        <v>Income: 1</v>
      </c>
      <c r="D42" s="28">
        <v>44205</v>
      </c>
      <c r="E42" s="29" t="s">
        <v>51</v>
      </c>
      <c r="F42" s="36">
        <v>1500</v>
      </c>
      <c r="G42" s="36"/>
      <c r="H42" s="58">
        <f t="shared" si="8"/>
        <v>500</v>
      </c>
      <c r="I42" s="120"/>
      <c r="J42" s="120"/>
      <c r="K42" s="120"/>
      <c r="L42" s="120"/>
      <c r="M42" s="120"/>
    </row>
    <row r="43" spans="1:13" ht="12.75" customHeight="1" x14ac:dyDescent="0.25">
      <c r="A43" s="37">
        <f t="shared" si="5"/>
        <v>2</v>
      </c>
      <c r="B43" s="37">
        <f t="shared" si="6"/>
        <v>2021</v>
      </c>
      <c r="C43" s="37" t="str">
        <f t="shared" si="7"/>
        <v>Rent: 1</v>
      </c>
      <c r="D43" s="40" t="str">
        <f>MOD(MONTH(D42), 12)+1 &amp; "/10/" &amp; YEAR(D42)</f>
        <v>2/10/2021</v>
      </c>
      <c r="E43" s="39" t="str">
        <f>"Rent: "&amp;LOOKUP(A43-1, Months, TextMonths)&amp;" '"&amp;B43</f>
        <v>Rent: Feb '2021</v>
      </c>
      <c r="F43" s="36"/>
      <c r="G43" s="36">
        <v>1550</v>
      </c>
      <c r="H43" s="58">
        <f t="shared" si="8"/>
        <v>2050</v>
      </c>
      <c r="I43" s="120"/>
      <c r="J43" s="120"/>
      <c r="K43" s="120"/>
      <c r="L43" s="120"/>
      <c r="M43" s="120"/>
    </row>
    <row r="44" spans="1:13" ht="12.75" customHeight="1" x14ac:dyDescent="0.25">
      <c r="A44" s="37">
        <f t="shared" si="5"/>
        <v>2</v>
      </c>
      <c r="B44" s="37">
        <f t="shared" si="6"/>
        <v>2021</v>
      </c>
      <c r="C44" s="37" t="str">
        <f t="shared" si="7"/>
        <v>Income: 1</v>
      </c>
      <c r="D44" s="28">
        <v>44238</v>
      </c>
      <c r="E44" s="29" t="s">
        <v>51</v>
      </c>
      <c r="F44" s="36">
        <v>1550</v>
      </c>
      <c r="G44" s="36"/>
      <c r="H44" s="58">
        <f t="shared" si="8"/>
        <v>500</v>
      </c>
      <c r="I44" s="102"/>
      <c r="J44" s="120"/>
      <c r="K44" s="120"/>
      <c r="L44" s="120"/>
      <c r="M44" s="120"/>
    </row>
    <row r="45" spans="1:13" ht="12.75" customHeight="1" x14ac:dyDescent="0.25">
      <c r="A45" s="37">
        <f t="shared" si="5"/>
        <v>4</v>
      </c>
      <c r="B45" s="37">
        <f t="shared" si="6"/>
        <v>2021</v>
      </c>
      <c r="C45" s="37" t="str">
        <f t="shared" si="7"/>
        <v>Rent: 1</v>
      </c>
      <c r="D45" s="40" t="str">
        <f>MOD(MONTH(D44), 12)+2 &amp; "/10/" &amp; YEAR(D44)</f>
        <v>4/10/2021</v>
      </c>
      <c r="E45" s="39" t="str">
        <f>"Rent: "&amp;LOOKUP(A45-1, Months, TextMonths)&amp;" '"&amp;B45</f>
        <v>Rent: Apr '2021</v>
      </c>
      <c r="F45" s="36"/>
      <c r="G45" s="36">
        <v>1550</v>
      </c>
      <c r="H45" s="58">
        <f t="shared" si="8"/>
        <v>2050</v>
      </c>
      <c r="I45" s="102"/>
      <c r="J45" s="120"/>
      <c r="K45" s="120"/>
      <c r="L45" s="120"/>
      <c r="M45" s="120"/>
    </row>
    <row r="46" spans="1:13" ht="12.75" customHeight="1" x14ac:dyDescent="0.25">
      <c r="A46" s="37">
        <f t="shared" si="5"/>
        <v>3</v>
      </c>
      <c r="B46" s="37">
        <f t="shared" si="6"/>
        <v>2021</v>
      </c>
      <c r="C46" s="37" t="str">
        <f t="shared" si="7"/>
        <v>Income: 1</v>
      </c>
      <c r="D46" s="28">
        <v>44267</v>
      </c>
      <c r="E46" s="29" t="s">
        <v>51</v>
      </c>
      <c r="F46" s="36">
        <v>1550</v>
      </c>
      <c r="G46" s="36"/>
      <c r="H46" s="58">
        <f t="shared" si="8"/>
        <v>500</v>
      </c>
      <c r="I46" s="102"/>
      <c r="J46" s="120"/>
      <c r="K46" s="120"/>
      <c r="L46" s="120"/>
      <c r="M46" s="120"/>
    </row>
    <row r="47" spans="1:13" ht="12.75" customHeight="1" x14ac:dyDescent="0.25">
      <c r="A47" s="37">
        <f t="shared" si="5"/>
        <v>4</v>
      </c>
      <c r="B47" s="37">
        <f t="shared" si="6"/>
        <v>2021</v>
      </c>
      <c r="C47" s="37" t="str">
        <f t="shared" si="7"/>
        <v>Rent: 1</v>
      </c>
      <c r="D47" s="40" t="str">
        <f>MOD(MONTH(D46), 12)+1 &amp; "/10/" &amp; YEAR(D46)</f>
        <v>4/10/2021</v>
      </c>
      <c r="E47" s="39" t="str">
        <f>"Rent: "&amp;LOOKUP(A47-1, Months, TextMonths)&amp;" '"&amp;B47</f>
        <v>Rent: Apr '2021</v>
      </c>
      <c r="F47" s="36"/>
      <c r="G47" s="36">
        <v>1550</v>
      </c>
      <c r="H47" s="58">
        <f t="shared" si="8"/>
        <v>2050</v>
      </c>
      <c r="I47" s="102"/>
      <c r="J47" s="120"/>
      <c r="K47" s="120"/>
      <c r="L47" s="120"/>
      <c r="M47" s="120"/>
    </row>
    <row r="48" spans="1:13" ht="12.75" customHeight="1" x14ac:dyDescent="0.25">
      <c r="A48" s="37">
        <f t="shared" si="5"/>
        <v>4</v>
      </c>
      <c r="B48" s="37">
        <f t="shared" si="6"/>
        <v>2021</v>
      </c>
      <c r="C48" s="37" t="str">
        <f t="shared" si="7"/>
        <v>Income: 1</v>
      </c>
      <c r="D48" s="28">
        <v>44298</v>
      </c>
      <c r="E48" s="29" t="s">
        <v>51</v>
      </c>
      <c r="F48" s="36">
        <v>1550</v>
      </c>
      <c r="G48" s="36"/>
      <c r="H48" s="58">
        <f t="shared" si="8"/>
        <v>500</v>
      </c>
      <c r="I48" s="120"/>
      <c r="J48" s="120"/>
      <c r="K48" s="120"/>
      <c r="L48" s="120"/>
      <c r="M48" s="120"/>
    </row>
    <row r="49" spans="1:13" ht="12.75" customHeight="1" x14ac:dyDescent="0.25">
      <c r="A49" s="37">
        <f t="shared" si="5"/>
        <v>5</v>
      </c>
      <c r="B49" s="37">
        <f t="shared" si="6"/>
        <v>2021</v>
      </c>
      <c r="C49" s="37" t="str">
        <f t="shared" si="7"/>
        <v>Rent: 1</v>
      </c>
      <c r="D49" s="40" t="str">
        <f>MOD(MONTH(D48), 12)+1 &amp; "/10/" &amp; YEAR(D48)</f>
        <v>5/10/2021</v>
      </c>
      <c r="E49" s="39" t="str">
        <f>"Rent: "&amp;LOOKUP(A49-1, Months, TextMonths)&amp;" '"&amp;B49</f>
        <v>Rent: May '2021</v>
      </c>
      <c r="F49" s="36"/>
      <c r="G49" s="36">
        <v>1550</v>
      </c>
      <c r="H49" s="58">
        <f t="shared" si="8"/>
        <v>2050</v>
      </c>
      <c r="I49" s="102"/>
      <c r="J49" s="120"/>
      <c r="K49" s="120"/>
      <c r="L49" s="120"/>
      <c r="M49" s="120"/>
    </row>
    <row r="50" spans="1:13" ht="12.75" customHeight="1" x14ac:dyDescent="0.25">
      <c r="A50" s="37">
        <f t="shared" si="5"/>
        <v>5</v>
      </c>
      <c r="B50" s="37">
        <f t="shared" si="6"/>
        <v>2021</v>
      </c>
      <c r="C50" s="37" t="str">
        <f t="shared" si="7"/>
        <v>Income: 1</v>
      </c>
      <c r="D50" s="28">
        <v>44330</v>
      </c>
      <c r="E50" s="29" t="s">
        <v>51</v>
      </c>
      <c r="F50" s="36">
        <v>1550</v>
      </c>
      <c r="G50" s="36"/>
      <c r="H50" s="58">
        <f t="shared" si="8"/>
        <v>500</v>
      </c>
      <c r="I50" s="120"/>
      <c r="J50" s="120"/>
      <c r="K50" s="120"/>
      <c r="L50" s="120"/>
      <c r="M50" s="120"/>
    </row>
    <row r="51" spans="1:13" ht="12.75" customHeight="1" x14ac:dyDescent="0.25">
      <c r="A51" s="37">
        <f t="shared" si="5"/>
        <v>6</v>
      </c>
      <c r="B51" s="37">
        <f t="shared" si="6"/>
        <v>2021</v>
      </c>
      <c r="C51" s="37" t="str">
        <f t="shared" si="7"/>
        <v>Rent: 1</v>
      </c>
      <c r="D51" s="40" t="str">
        <f>MOD(MONTH(D50), 12)+1 &amp; "/10/" &amp; YEAR(D50)</f>
        <v>6/10/2021</v>
      </c>
      <c r="E51" s="39" t="str">
        <f>"Rent: "&amp;LOOKUP(A51-1, Months, TextMonths)&amp;" '"&amp;B51</f>
        <v>Rent: Jun '2021</v>
      </c>
      <c r="F51" s="36"/>
      <c r="G51" s="36">
        <v>1550</v>
      </c>
      <c r="H51" s="58">
        <f t="shared" si="8"/>
        <v>2050</v>
      </c>
      <c r="I51" s="102"/>
      <c r="J51" s="120"/>
      <c r="K51" s="120"/>
      <c r="L51" s="102"/>
      <c r="M51" s="161"/>
    </row>
    <row r="52" spans="1:13" ht="12.75" customHeight="1" x14ac:dyDescent="0.25">
      <c r="A52" s="37">
        <f t="shared" si="5"/>
        <v>6</v>
      </c>
      <c r="B52" s="37">
        <f t="shared" si="6"/>
        <v>2021</v>
      </c>
      <c r="C52" s="37" t="str">
        <f t="shared" ref="C52:C102" si="9">IFERROR("Rent: "&amp;FIND("Rent",E52),IFERROR("Priv Tax: "&amp;FIND("Tax",E52), IFERROR("Income: "&amp;FIND("Payment",E52,1),"")))</f>
        <v>Income: 1</v>
      </c>
      <c r="D52" s="28">
        <v>44358</v>
      </c>
      <c r="E52" s="29" t="s">
        <v>51</v>
      </c>
      <c r="F52" s="36">
        <v>1550</v>
      </c>
      <c r="G52" s="36"/>
      <c r="H52" s="58">
        <f t="shared" si="8"/>
        <v>500</v>
      </c>
      <c r="I52" s="120"/>
      <c r="J52" s="120"/>
      <c r="K52" s="120"/>
      <c r="L52" s="102"/>
      <c r="M52" s="161"/>
    </row>
    <row r="53" spans="1:13" ht="12.75" customHeight="1" x14ac:dyDescent="0.25">
      <c r="A53" s="37">
        <f t="shared" si="5"/>
        <v>7</v>
      </c>
      <c r="B53" s="37">
        <f t="shared" si="6"/>
        <v>2021</v>
      </c>
      <c r="C53" s="37" t="str">
        <f t="shared" si="9"/>
        <v>Rent: 1</v>
      </c>
      <c r="D53" s="40" t="str">
        <f>MOD(MONTH(D52), 12)+1 &amp; "/10/" &amp; YEAR(D52)</f>
        <v>7/10/2021</v>
      </c>
      <c r="E53" s="39" t="str">
        <f>"Rent: "&amp;LOOKUP(A53-1, Months, TextMonths)&amp;" '"&amp;B53</f>
        <v>Rent: Jul '2021</v>
      </c>
      <c r="F53" s="36"/>
      <c r="G53" s="36">
        <v>1550</v>
      </c>
      <c r="H53" s="58">
        <f t="shared" si="8"/>
        <v>2050</v>
      </c>
      <c r="I53" s="102"/>
      <c r="J53" s="120"/>
      <c r="K53" s="120"/>
      <c r="L53" s="102"/>
      <c r="M53" s="161"/>
    </row>
    <row r="54" spans="1:13" ht="12.75" customHeight="1" x14ac:dyDescent="0.25">
      <c r="A54" s="57">
        <f t="shared" si="5"/>
        <v>7</v>
      </c>
      <c r="B54" s="57">
        <f t="shared" si="6"/>
        <v>2021</v>
      </c>
      <c r="C54" s="37" t="str">
        <f t="shared" si="9"/>
        <v/>
      </c>
      <c r="D54" s="28">
        <v>44389</v>
      </c>
      <c r="E54" s="29" t="s">
        <v>91</v>
      </c>
      <c r="F54" s="36">
        <v>139.84</v>
      </c>
      <c r="G54" s="36"/>
      <c r="H54" s="58">
        <f t="shared" si="8"/>
        <v>1910.16</v>
      </c>
      <c r="I54" s="120"/>
      <c r="J54" s="120"/>
      <c r="K54" s="120"/>
      <c r="L54" s="102"/>
      <c r="M54" s="161"/>
    </row>
    <row r="55" spans="1:13" ht="12.75" customHeight="1" x14ac:dyDescent="0.25">
      <c r="A55" s="57">
        <f t="shared" si="5"/>
        <v>7</v>
      </c>
      <c r="B55" s="57">
        <f t="shared" si="6"/>
        <v>2021</v>
      </c>
      <c r="C55" s="37" t="str">
        <f t="shared" si="9"/>
        <v/>
      </c>
      <c r="D55" s="28">
        <v>44389</v>
      </c>
      <c r="E55" s="29" t="s">
        <v>92</v>
      </c>
      <c r="F55" s="36">
        <f>4.97+5.36</f>
        <v>10.33</v>
      </c>
      <c r="G55" s="36"/>
      <c r="H55" s="58">
        <f t="shared" si="8"/>
        <v>1899.8300000000002</v>
      </c>
      <c r="I55" s="102"/>
      <c r="J55" s="120"/>
      <c r="K55" s="120"/>
      <c r="L55" s="102"/>
      <c r="M55" s="161"/>
    </row>
    <row r="56" spans="1:13" ht="12.75" customHeight="1" x14ac:dyDescent="0.25">
      <c r="A56" s="57">
        <f t="shared" si="5"/>
        <v>7</v>
      </c>
      <c r="B56" s="57">
        <f t="shared" si="6"/>
        <v>2021</v>
      </c>
      <c r="C56" s="37" t="str">
        <f t="shared" si="9"/>
        <v/>
      </c>
      <c r="D56" s="28">
        <v>44389</v>
      </c>
      <c r="E56" s="29" t="s">
        <v>93</v>
      </c>
      <c r="F56" s="36">
        <f>23.98+39.98</f>
        <v>63.959999999999994</v>
      </c>
      <c r="G56" s="36"/>
      <c r="H56" s="58">
        <f t="shared" si="8"/>
        <v>1835.8700000000001</v>
      </c>
      <c r="I56" s="120"/>
      <c r="J56" s="120"/>
      <c r="K56" s="120"/>
      <c r="L56" s="102"/>
      <c r="M56" s="161"/>
    </row>
    <row r="57" spans="1:13" ht="12.75" customHeight="1" x14ac:dyDescent="0.25">
      <c r="A57" s="57">
        <f t="shared" si="5"/>
        <v>7</v>
      </c>
      <c r="B57" s="57">
        <f t="shared" si="6"/>
        <v>2021</v>
      </c>
      <c r="C57" s="37" t="str">
        <f t="shared" si="9"/>
        <v/>
      </c>
      <c r="D57" s="28">
        <v>44389</v>
      </c>
      <c r="E57" s="29" t="s">
        <v>94</v>
      </c>
      <c r="F57" s="36">
        <f>21.58+8.97+9.48</f>
        <v>40.03</v>
      </c>
      <c r="G57" s="36"/>
      <c r="H57" s="58">
        <f t="shared" si="8"/>
        <v>1795.8400000000001</v>
      </c>
      <c r="I57" s="102"/>
      <c r="J57" s="120"/>
      <c r="K57" s="120"/>
      <c r="L57" s="102"/>
      <c r="M57" s="161"/>
    </row>
    <row r="58" spans="1:13" ht="12.75" customHeight="1" x14ac:dyDescent="0.25">
      <c r="A58" s="57">
        <f t="shared" si="5"/>
        <v>7</v>
      </c>
      <c r="B58" s="57">
        <f t="shared" si="6"/>
        <v>2021</v>
      </c>
      <c r="C58" s="37" t="str">
        <f t="shared" si="9"/>
        <v/>
      </c>
      <c r="D58" s="28">
        <v>44389</v>
      </c>
      <c r="E58" s="29" t="s">
        <v>95</v>
      </c>
      <c r="F58" s="36">
        <f>6.2+21.94+8.9+19.6</f>
        <v>56.64</v>
      </c>
      <c r="G58" s="36"/>
      <c r="H58" s="58">
        <f t="shared" si="8"/>
        <v>1739.2</v>
      </c>
      <c r="I58" s="120"/>
      <c r="J58" s="120"/>
      <c r="K58" s="120"/>
      <c r="L58" s="120"/>
      <c r="M58" s="161"/>
    </row>
    <row r="59" spans="1:13" ht="12.75" customHeight="1" x14ac:dyDescent="0.25">
      <c r="A59" s="57">
        <f t="shared" si="5"/>
        <v>7</v>
      </c>
      <c r="B59" s="57">
        <f t="shared" si="6"/>
        <v>2021</v>
      </c>
      <c r="C59" s="37" t="str">
        <f t="shared" si="9"/>
        <v/>
      </c>
      <c r="D59" s="28">
        <v>44389</v>
      </c>
      <c r="E59" s="29" t="s">
        <v>96</v>
      </c>
      <c r="F59" s="36">
        <f>2.78+2.98+2.98+4.98+39.98+23.98+33.98+6.27</f>
        <v>117.92999999999999</v>
      </c>
      <c r="G59" s="36"/>
      <c r="H59" s="58">
        <f t="shared" si="8"/>
        <v>1621.27</v>
      </c>
      <c r="I59" s="102"/>
      <c r="J59" s="120"/>
      <c r="K59" s="120"/>
      <c r="L59" s="120"/>
      <c r="M59" s="120"/>
    </row>
    <row r="60" spans="1:13" ht="12.75" customHeight="1" x14ac:dyDescent="0.25">
      <c r="A60" s="57">
        <f t="shared" si="5"/>
        <v>7</v>
      </c>
      <c r="B60" s="57">
        <f t="shared" si="6"/>
        <v>2021</v>
      </c>
      <c r="C60" s="37" t="str">
        <f t="shared" si="9"/>
        <v/>
      </c>
      <c r="D60" s="28">
        <v>44389</v>
      </c>
      <c r="E60" s="29" t="s">
        <v>97</v>
      </c>
      <c r="F60" s="36">
        <v>182.59</v>
      </c>
      <c r="G60" s="36"/>
      <c r="H60" s="58">
        <f t="shared" si="8"/>
        <v>1438.68</v>
      </c>
      <c r="I60" s="120"/>
      <c r="J60" s="120"/>
      <c r="K60" s="120"/>
      <c r="L60" s="120"/>
      <c r="M60" s="120"/>
    </row>
    <row r="61" spans="1:13" ht="12.75" customHeight="1" x14ac:dyDescent="0.25">
      <c r="A61" s="57">
        <f t="shared" si="5"/>
        <v>7</v>
      </c>
      <c r="B61" s="57">
        <f t="shared" si="6"/>
        <v>2021</v>
      </c>
      <c r="C61" s="37" t="str">
        <f t="shared" si="9"/>
        <v/>
      </c>
      <c r="D61" s="28">
        <v>44389</v>
      </c>
      <c r="E61" s="29" t="s">
        <v>98</v>
      </c>
      <c r="F61" s="36">
        <v>199</v>
      </c>
      <c r="G61" s="36"/>
      <c r="H61" s="58">
        <f t="shared" si="8"/>
        <v>1239.68</v>
      </c>
      <c r="I61" s="102"/>
      <c r="J61" s="120"/>
      <c r="K61" s="120"/>
      <c r="L61" s="120"/>
      <c r="M61" s="120"/>
    </row>
    <row r="62" spans="1:13" ht="12.75" customHeight="1" x14ac:dyDescent="0.25">
      <c r="A62" s="37">
        <f t="shared" si="5"/>
        <v>7</v>
      </c>
      <c r="B62" s="37">
        <f t="shared" si="6"/>
        <v>2021</v>
      </c>
      <c r="C62" s="37" t="str">
        <f t="shared" si="9"/>
        <v>Income: 1</v>
      </c>
      <c r="D62" s="28">
        <v>44391</v>
      </c>
      <c r="E62" s="29" t="s">
        <v>51</v>
      </c>
      <c r="F62" s="36">
        <v>739.68</v>
      </c>
      <c r="G62" s="36"/>
      <c r="H62" s="58">
        <f t="shared" si="8"/>
        <v>500.00000000000011</v>
      </c>
      <c r="I62" s="102"/>
      <c r="J62" s="120"/>
      <c r="K62" s="120"/>
      <c r="L62" s="120"/>
      <c r="M62" s="120"/>
    </row>
    <row r="63" spans="1:13" ht="12.75" customHeight="1" x14ac:dyDescent="0.25">
      <c r="A63" s="37">
        <f t="shared" si="5"/>
        <v>8</v>
      </c>
      <c r="B63" s="37">
        <f t="shared" si="6"/>
        <v>2021</v>
      </c>
      <c r="C63" s="37" t="str">
        <f t="shared" si="9"/>
        <v>Rent: 1</v>
      </c>
      <c r="D63" s="40" t="str">
        <f>MOD(MONTH(D62), 12)+1 &amp; "/10/" &amp; YEAR(D62)</f>
        <v>8/10/2021</v>
      </c>
      <c r="E63" s="39" t="str">
        <f>"Rent: "&amp;LOOKUP(A63-1, Months, TextMonths)&amp;" '"&amp;B63</f>
        <v>Rent: Aug '2021</v>
      </c>
      <c r="F63" s="36"/>
      <c r="G63" s="36">
        <v>1550</v>
      </c>
      <c r="H63" s="58">
        <f t="shared" si="8"/>
        <v>2050</v>
      </c>
      <c r="I63" s="102"/>
      <c r="J63" s="120"/>
      <c r="K63" s="120"/>
      <c r="L63" s="120"/>
      <c r="M63" s="120"/>
    </row>
    <row r="64" spans="1:13" ht="12.75" customHeight="1" x14ac:dyDescent="0.25">
      <c r="A64" s="37">
        <f t="shared" si="5"/>
        <v>8</v>
      </c>
      <c r="B64" s="37">
        <f t="shared" si="6"/>
        <v>2021</v>
      </c>
      <c r="C64" s="37" t="str">
        <f t="shared" si="9"/>
        <v>Income: 1</v>
      </c>
      <c r="D64" s="28">
        <v>44420</v>
      </c>
      <c r="E64" s="29" t="s">
        <v>51</v>
      </c>
      <c r="F64" s="36">
        <v>1550</v>
      </c>
      <c r="G64" s="36"/>
      <c r="H64" s="58">
        <f t="shared" si="8"/>
        <v>500</v>
      </c>
      <c r="I64" s="120"/>
      <c r="J64" s="120"/>
      <c r="K64" s="120"/>
      <c r="L64" s="120"/>
      <c r="M64" s="120"/>
    </row>
    <row r="65" spans="1:13" ht="12.75" customHeight="1" x14ac:dyDescent="0.25">
      <c r="A65" s="37">
        <f t="shared" si="5"/>
        <v>9</v>
      </c>
      <c r="B65" s="37">
        <f t="shared" si="6"/>
        <v>2021</v>
      </c>
      <c r="C65" s="37" t="str">
        <f t="shared" si="9"/>
        <v>Rent: 1</v>
      </c>
      <c r="D65" s="40" t="str">
        <f>MOD(MONTH(D64), 12)+1 &amp; "/10/" &amp; YEAR(D64)</f>
        <v>9/10/2021</v>
      </c>
      <c r="E65" s="39" t="str">
        <f>"Rent: "&amp;LOOKUP(A65-1, Months, TextMonths)&amp;" '"&amp;B65</f>
        <v>Rent: Sep '2021</v>
      </c>
      <c r="F65" s="36"/>
      <c r="G65" s="36">
        <v>1550</v>
      </c>
      <c r="H65" s="58">
        <f t="shared" si="8"/>
        <v>2050</v>
      </c>
      <c r="I65" s="157"/>
      <c r="J65" s="120"/>
      <c r="K65" s="120"/>
      <c r="L65" s="120"/>
      <c r="M65" s="120"/>
    </row>
    <row r="66" spans="1:13" ht="12.75" customHeight="1" x14ac:dyDescent="0.25">
      <c r="A66" s="37">
        <f t="shared" si="5"/>
        <v>9</v>
      </c>
      <c r="B66" s="37">
        <f t="shared" si="6"/>
        <v>2021</v>
      </c>
      <c r="C66" s="37" t="str">
        <f t="shared" si="9"/>
        <v>Income: 1</v>
      </c>
      <c r="D66" s="28">
        <v>44452</v>
      </c>
      <c r="E66" s="29" t="s">
        <v>51</v>
      </c>
      <c r="F66" s="36">
        <v>1550</v>
      </c>
      <c r="G66" s="36"/>
      <c r="H66" s="58">
        <f t="shared" si="8"/>
        <v>500</v>
      </c>
      <c r="I66" s="120"/>
      <c r="J66" s="120"/>
      <c r="K66" s="120"/>
      <c r="L66" s="120"/>
      <c r="M66" s="120"/>
    </row>
    <row r="67" spans="1:13" ht="12.75" customHeight="1" x14ac:dyDescent="0.25">
      <c r="A67" s="37">
        <f t="shared" si="5"/>
        <v>10</v>
      </c>
      <c r="B67" s="37">
        <f t="shared" si="6"/>
        <v>2021</v>
      </c>
      <c r="C67" s="37" t="str">
        <f t="shared" si="9"/>
        <v>Rent: 1</v>
      </c>
      <c r="D67" s="40" t="str">
        <f>MOD(MONTH(D66), 12)+1 &amp; "/10/" &amp; YEAR(D66)</f>
        <v>10/10/2021</v>
      </c>
      <c r="E67" s="39" t="str">
        <f>"Rent: "&amp;LOOKUP(A67-1, Months, TextMonths)&amp;" '"&amp;B67</f>
        <v>Rent: Oct '2021</v>
      </c>
      <c r="F67" s="36"/>
      <c r="G67" s="36">
        <v>1550</v>
      </c>
      <c r="H67" s="58">
        <f t="shared" si="8"/>
        <v>2050</v>
      </c>
      <c r="I67" s="120"/>
      <c r="J67" s="120"/>
      <c r="K67" s="120"/>
      <c r="L67" s="120"/>
      <c r="M67" s="120"/>
    </row>
    <row r="68" spans="1:13" ht="14.25" customHeight="1" x14ac:dyDescent="0.25">
      <c r="A68" s="37">
        <f t="shared" si="5"/>
        <v>10</v>
      </c>
      <c r="B68" s="37">
        <f t="shared" si="6"/>
        <v>2021</v>
      </c>
      <c r="C68" s="37" t="str">
        <f t="shared" si="9"/>
        <v>Income: 1</v>
      </c>
      <c r="D68" s="28">
        <v>44481</v>
      </c>
      <c r="E68" s="29" t="s">
        <v>51</v>
      </c>
      <c r="F68" s="36">
        <v>1550</v>
      </c>
      <c r="G68" s="36"/>
      <c r="H68" s="58">
        <f t="shared" si="8"/>
        <v>500</v>
      </c>
      <c r="I68" s="157"/>
      <c r="J68" s="120"/>
      <c r="K68" s="120"/>
      <c r="L68" s="120"/>
      <c r="M68" s="120"/>
    </row>
    <row r="69" spans="1:13" ht="12.75" customHeight="1" x14ac:dyDescent="0.25">
      <c r="A69" s="37">
        <f t="shared" si="5"/>
        <v>11</v>
      </c>
      <c r="B69" s="37">
        <f t="shared" si="6"/>
        <v>2021</v>
      </c>
      <c r="C69" s="37" t="str">
        <f t="shared" si="9"/>
        <v>Rent: 1</v>
      </c>
      <c r="D69" s="40" t="str">
        <f>MOD(MONTH(D68), 12)+1 &amp; "/10/" &amp; YEAR(D68)</f>
        <v>11/10/2021</v>
      </c>
      <c r="E69" s="39" t="str">
        <f>"Rent: "&amp;LOOKUP(A69-1, Months, TextMonths)&amp;" '"&amp;B69</f>
        <v>Rent: Nov '2021</v>
      </c>
      <c r="F69" s="36"/>
      <c r="G69" s="36">
        <v>1550</v>
      </c>
      <c r="H69" s="58">
        <f t="shared" si="8"/>
        <v>2050</v>
      </c>
      <c r="I69" s="120"/>
      <c r="J69" s="120"/>
      <c r="K69" s="120"/>
      <c r="L69" s="120"/>
      <c r="M69" s="120"/>
    </row>
    <row r="70" spans="1:13" ht="12.75" customHeight="1" x14ac:dyDescent="0.25">
      <c r="A70" s="37">
        <f t="shared" si="5"/>
        <v>11</v>
      </c>
      <c r="B70" s="37">
        <f t="shared" si="6"/>
        <v>2021</v>
      </c>
      <c r="C70" s="37" t="str">
        <f t="shared" si="9"/>
        <v>Income: 1</v>
      </c>
      <c r="D70" s="28">
        <v>44512</v>
      </c>
      <c r="E70" s="29" t="s">
        <v>51</v>
      </c>
      <c r="F70" s="36">
        <v>1550</v>
      </c>
      <c r="G70" s="36"/>
      <c r="H70" s="58">
        <f t="shared" si="8"/>
        <v>500</v>
      </c>
      <c r="I70" s="120"/>
      <c r="J70" s="120"/>
      <c r="K70" s="120"/>
      <c r="L70" s="120"/>
      <c r="M70" s="120"/>
    </row>
    <row r="71" spans="1:13" ht="12.75" customHeight="1" x14ac:dyDescent="0.25">
      <c r="A71" s="57">
        <f t="shared" si="5"/>
        <v>1</v>
      </c>
      <c r="B71" s="57">
        <f t="shared" si="6"/>
        <v>2022</v>
      </c>
      <c r="C71" s="37" t="str">
        <f t="shared" si="9"/>
        <v/>
      </c>
      <c r="D71" s="28">
        <v>44570</v>
      </c>
      <c r="E71" s="29" t="s">
        <v>99</v>
      </c>
      <c r="F71" s="36">
        <v>702.32</v>
      </c>
      <c r="G71" s="36"/>
      <c r="H71" s="58">
        <f t="shared" si="8"/>
        <v>-202.32000000000005</v>
      </c>
      <c r="I71" s="120"/>
      <c r="J71" s="120"/>
      <c r="K71" s="120"/>
      <c r="L71" s="120"/>
      <c r="M71" s="120"/>
    </row>
    <row r="72" spans="1:13" ht="12.75" customHeight="1" x14ac:dyDescent="0.25">
      <c r="A72" s="37">
        <f t="shared" si="5"/>
        <v>12</v>
      </c>
      <c r="B72" s="37">
        <f t="shared" si="6"/>
        <v>2021</v>
      </c>
      <c r="C72" s="37" t="str">
        <f t="shared" si="9"/>
        <v>Rent: 1</v>
      </c>
      <c r="D72" s="40" t="str">
        <f>MOD(MONTH(D70), 12)+1 &amp; "/10/" &amp; YEAR(D70)</f>
        <v>12/10/2021</v>
      </c>
      <c r="E72" s="39" t="str">
        <f>"Rent: "&amp;LOOKUP(A72-1, Months, TextMonths)&amp;" '"&amp;B72</f>
        <v>Rent: Dec '2021</v>
      </c>
      <c r="F72" s="36"/>
      <c r="G72" s="36">
        <v>1550</v>
      </c>
      <c r="H72" s="58">
        <f t="shared" si="8"/>
        <v>1347.6799999999998</v>
      </c>
      <c r="I72" s="120"/>
      <c r="J72" s="120"/>
      <c r="K72" s="157"/>
      <c r="L72" s="157"/>
      <c r="M72" s="120"/>
    </row>
    <row r="73" spans="1:13" ht="12.75" customHeight="1" x14ac:dyDescent="0.25">
      <c r="A73" s="37">
        <f t="shared" si="5"/>
        <v>12</v>
      </c>
      <c r="B73" s="37">
        <f t="shared" si="6"/>
        <v>2021</v>
      </c>
      <c r="C73" s="37" t="str">
        <f t="shared" si="9"/>
        <v>Income: 1</v>
      </c>
      <c r="D73" s="28">
        <v>44544</v>
      </c>
      <c r="E73" s="29" t="s">
        <v>51</v>
      </c>
      <c r="F73" s="36">
        <v>1550</v>
      </c>
      <c r="G73" s="36"/>
      <c r="H73" s="58">
        <f t="shared" si="8"/>
        <v>-202.32000000000016</v>
      </c>
      <c r="I73" s="157"/>
      <c r="J73" s="120"/>
      <c r="K73" s="120"/>
      <c r="L73" s="120"/>
      <c r="M73" s="120"/>
    </row>
    <row r="74" spans="1:13" ht="12.75" customHeight="1" x14ac:dyDescent="0.25">
      <c r="A74" s="37">
        <f t="shared" si="5"/>
        <v>1</v>
      </c>
      <c r="B74" s="37">
        <f t="shared" si="6"/>
        <v>2022</v>
      </c>
      <c r="C74" s="37" t="str">
        <f t="shared" si="9"/>
        <v>Rent: 1</v>
      </c>
      <c r="D74" s="40" t="str">
        <f>MOD(MONTH(D73), 12)+1 &amp; "/10/" &amp; YEAR(D73)+1</f>
        <v>1/10/2022</v>
      </c>
      <c r="E74" s="39" t="str">
        <f>"Rent: "&amp;LOOKUP(A74-1, Months, TextMonths)&amp;" '"&amp;B74</f>
        <v>Rent: Jan '2022</v>
      </c>
      <c r="F74" s="36"/>
      <c r="G74" s="36">
        <v>1700</v>
      </c>
      <c r="H74" s="58">
        <f t="shared" si="8"/>
        <v>1497.6799999999998</v>
      </c>
      <c r="I74" s="157"/>
      <c r="J74" s="120"/>
      <c r="K74" s="120"/>
      <c r="L74" s="120"/>
      <c r="M74" s="120"/>
    </row>
    <row r="75" spans="1:13" ht="12.75" customHeight="1" x14ac:dyDescent="0.25">
      <c r="A75" s="57">
        <f t="shared" si="5"/>
        <v>1</v>
      </c>
      <c r="B75" s="57">
        <f t="shared" si="6"/>
        <v>2022</v>
      </c>
      <c r="C75" s="37" t="str">
        <f t="shared" si="9"/>
        <v/>
      </c>
      <c r="D75" s="28">
        <v>44570</v>
      </c>
      <c r="E75" s="29" t="s">
        <v>100</v>
      </c>
      <c r="F75" s="36">
        <v>189.68</v>
      </c>
      <c r="G75" s="36"/>
      <c r="H75" s="58">
        <f t="shared" si="8"/>
        <v>1307.9999999999998</v>
      </c>
      <c r="I75" s="102"/>
      <c r="J75" s="120"/>
      <c r="K75" s="120"/>
      <c r="L75" s="120"/>
      <c r="M75" s="120"/>
    </row>
    <row r="76" spans="1:13" ht="14.25" customHeight="1" x14ac:dyDescent="0.25">
      <c r="A76" s="37">
        <f t="shared" si="5"/>
        <v>1</v>
      </c>
      <c r="B76" s="37">
        <f t="shared" si="6"/>
        <v>2022</v>
      </c>
      <c r="C76" s="37" t="str">
        <f t="shared" si="9"/>
        <v>Income: 1</v>
      </c>
      <c r="D76" s="28">
        <v>44575</v>
      </c>
      <c r="E76" s="29" t="s">
        <v>51</v>
      </c>
      <c r="F76" s="36">
        <v>1308</v>
      </c>
      <c r="G76" s="36"/>
      <c r="H76" s="58">
        <f t="shared" si="8"/>
        <v>0</v>
      </c>
      <c r="I76" s="120"/>
      <c r="J76" s="120"/>
      <c r="K76" s="120"/>
      <c r="L76" s="120"/>
      <c r="M76" s="120"/>
    </row>
    <row r="77" spans="1:13" ht="12.75" customHeight="1" x14ac:dyDescent="0.25">
      <c r="A77" s="37">
        <f t="shared" si="5"/>
        <v>2</v>
      </c>
      <c r="B77" s="37">
        <f t="shared" si="6"/>
        <v>2022</v>
      </c>
      <c r="C77" s="37" t="str">
        <f t="shared" si="9"/>
        <v>Rent: 1</v>
      </c>
      <c r="D77" s="40" t="str">
        <f>MOD(MONTH(D76), 12)+1 &amp; "/10/" &amp; YEAR(D76)</f>
        <v>2/10/2022</v>
      </c>
      <c r="E77" s="39" t="str">
        <f>"Rent: "&amp;LOOKUP(A77-1, Months, TextMonths)&amp;" '"&amp;B77</f>
        <v>Rent: Feb '2022</v>
      </c>
      <c r="F77" s="36"/>
      <c r="G77" s="36">
        <v>1700</v>
      </c>
      <c r="H77" s="58">
        <f t="shared" si="8"/>
        <v>1700</v>
      </c>
      <c r="I77" s="120"/>
      <c r="J77" s="120"/>
      <c r="K77" s="120"/>
      <c r="L77" s="120"/>
      <c r="M77" s="120"/>
    </row>
    <row r="78" spans="1:13" ht="12.75" customHeight="1" x14ac:dyDescent="0.25">
      <c r="A78" s="37">
        <f t="shared" si="5"/>
        <v>2</v>
      </c>
      <c r="B78" s="37">
        <f t="shared" si="6"/>
        <v>2022</v>
      </c>
      <c r="C78" s="37" t="str">
        <f t="shared" si="9"/>
        <v>Income: 1</v>
      </c>
      <c r="D78" s="28">
        <v>44603</v>
      </c>
      <c r="E78" s="29" t="s">
        <v>51</v>
      </c>
      <c r="F78" s="36">
        <v>1700</v>
      </c>
      <c r="G78" s="36"/>
      <c r="H78" s="58">
        <f t="shared" si="8"/>
        <v>0</v>
      </c>
      <c r="I78" s="102"/>
      <c r="J78" s="120"/>
      <c r="K78" s="120"/>
      <c r="L78" s="120"/>
      <c r="M78" s="120"/>
    </row>
    <row r="79" spans="1:13" ht="12.75" customHeight="1" x14ac:dyDescent="0.25">
      <c r="A79" s="37">
        <f t="shared" si="5"/>
        <v>3</v>
      </c>
      <c r="B79" s="37">
        <f t="shared" si="6"/>
        <v>2022</v>
      </c>
      <c r="C79" s="37" t="str">
        <f t="shared" si="9"/>
        <v>Rent: 1</v>
      </c>
      <c r="D79" s="40" t="str">
        <f>MOD(MONTH(D78), 12)+1 &amp; "/10/" &amp; YEAR(D78)</f>
        <v>3/10/2022</v>
      </c>
      <c r="E79" s="39" t="str">
        <f>"Rent: "&amp;LOOKUP(A79-1, Months, TextMonths)&amp;" '"&amp;B79</f>
        <v>Rent: Mar '2022</v>
      </c>
      <c r="F79" s="36"/>
      <c r="G79" s="36">
        <v>1700</v>
      </c>
      <c r="H79" s="58">
        <f t="shared" si="8"/>
        <v>1700</v>
      </c>
      <c r="I79" s="120"/>
      <c r="J79" s="120"/>
      <c r="K79" s="120"/>
      <c r="L79" s="120"/>
      <c r="M79" s="120"/>
    </row>
    <row r="80" spans="1:13" ht="12.75" customHeight="1" x14ac:dyDescent="0.25">
      <c r="A80" s="37">
        <f t="shared" si="5"/>
        <v>3</v>
      </c>
      <c r="B80" s="37">
        <f t="shared" si="6"/>
        <v>2022</v>
      </c>
      <c r="C80" s="37" t="str">
        <f t="shared" si="9"/>
        <v>Income: 1</v>
      </c>
      <c r="D80" s="28">
        <v>44634</v>
      </c>
      <c r="E80" s="29" t="s">
        <v>51</v>
      </c>
      <c r="F80" s="36">
        <v>1700</v>
      </c>
      <c r="G80" s="36"/>
      <c r="H80" s="58">
        <f t="shared" si="8"/>
        <v>0</v>
      </c>
      <c r="I80" s="102"/>
      <c r="J80" s="120"/>
      <c r="K80" s="120"/>
      <c r="L80" s="120"/>
      <c r="M80" s="120"/>
    </row>
    <row r="81" spans="1:13" ht="12.75" customHeight="1" x14ac:dyDescent="0.25">
      <c r="A81" s="37">
        <f t="shared" si="5"/>
        <v>4</v>
      </c>
      <c r="B81" s="37">
        <f t="shared" si="6"/>
        <v>2022</v>
      </c>
      <c r="C81" s="37" t="str">
        <f t="shared" si="9"/>
        <v>Rent: 1</v>
      </c>
      <c r="D81" s="40" t="str">
        <f>MOD(MONTH(D80), 12)+1 &amp; "/10/" &amp; YEAR(D80)</f>
        <v>4/10/2022</v>
      </c>
      <c r="E81" s="39" t="str">
        <f>"Rent: "&amp;LOOKUP(A81-1, Months, TextMonths)&amp;" '"&amp;B81</f>
        <v>Rent: Apr '2022</v>
      </c>
      <c r="F81" s="36"/>
      <c r="G81" s="36">
        <v>1700</v>
      </c>
      <c r="H81" s="58">
        <f t="shared" si="8"/>
        <v>1700</v>
      </c>
      <c r="I81" s="120"/>
      <c r="J81" s="120"/>
      <c r="K81" s="120"/>
      <c r="L81" s="120"/>
      <c r="M81" s="120"/>
    </row>
    <row r="82" spans="1:13" ht="12.75" customHeight="1" x14ac:dyDescent="0.25">
      <c r="A82" s="37">
        <f t="shared" si="5"/>
        <v>4</v>
      </c>
      <c r="B82" s="37">
        <f t="shared" si="6"/>
        <v>2022</v>
      </c>
      <c r="C82" s="37" t="str">
        <f t="shared" si="9"/>
        <v>Income: 1</v>
      </c>
      <c r="D82" s="28">
        <v>44663</v>
      </c>
      <c r="E82" s="29" t="s">
        <v>51</v>
      </c>
      <c r="F82" s="36">
        <v>1700</v>
      </c>
      <c r="G82" s="36"/>
      <c r="H82" s="58">
        <f t="shared" si="8"/>
        <v>0</v>
      </c>
      <c r="I82" s="102"/>
      <c r="J82" s="120"/>
      <c r="K82" s="120"/>
      <c r="L82" s="120"/>
      <c r="M82" s="120"/>
    </row>
    <row r="83" spans="1:13" ht="12.75" customHeight="1" x14ac:dyDescent="0.25">
      <c r="A83" s="37">
        <f t="shared" si="5"/>
        <v>5</v>
      </c>
      <c r="B83" s="37">
        <f t="shared" si="6"/>
        <v>2022</v>
      </c>
      <c r="C83" s="37" t="str">
        <f t="shared" si="9"/>
        <v>Rent: 1</v>
      </c>
      <c r="D83" s="40" t="str">
        <f>MOD(MONTH(D82), 12)+1 &amp; "/10/" &amp; YEAR(D82)</f>
        <v>5/10/2022</v>
      </c>
      <c r="E83" s="39" t="str">
        <f>"Rent: "&amp;LOOKUP(A83-1, Months, TextMonths)&amp;" '"&amp;B83</f>
        <v>Rent: May '2022</v>
      </c>
      <c r="F83" s="36"/>
      <c r="G83" s="36">
        <v>1700</v>
      </c>
      <c r="H83" s="58">
        <f t="shared" si="8"/>
        <v>1700</v>
      </c>
      <c r="I83" s="120"/>
      <c r="J83" s="120"/>
      <c r="K83" s="120"/>
      <c r="L83" s="120"/>
      <c r="M83" s="120"/>
    </row>
    <row r="84" spans="1:13" ht="12.75" customHeight="1" x14ac:dyDescent="0.25">
      <c r="A84" s="37">
        <f t="shared" si="5"/>
        <v>5</v>
      </c>
      <c r="B84" s="37">
        <f t="shared" si="6"/>
        <v>2022</v>
      </c>
      <c r="C84" s="37" t="str">
        <f t="shared" si="9"/>
        <v>Income: 1</v>
      </c>
      <c r="D84" s="28">
        <v>44693</v>
      </c>
      <c r="E84" s="29" t="s">
        <v>51</v>
      </c>
      <c r="F84" s="36">
        <v>500</v>
      </c>
      <c r="G84" s="36"/>
      <c r="H84" s="58">
        <f t="shared" si="8"/>
        <v>1200</v>
      </c>
      <c r="I84" s="102"/>
      <c r="J84" s="120"/>
      <c r="K84" s="120"/>
      <c r="L84" s="120"/>
      <c r="M84" s="120"/>
    </row>
    <row r="85" spans="1:13" ht="12.75" customHeight="1" x14ac:dyDescent="0.25">
      <c r="A85" s="37">
        <f t="shared" si="5"/>
        <v>5</v>
      </c>
      <c r="B85" s="37">
        <f t="shared" si="6"/>
        <v>2022</v>
      </c>
      <c r="C85" s="37" t="str">
        <f t="shared" si="9"/>
        <v>Income: 1</v>
      </c>
      <c r="D85" s="28">
        <v>44694</v>
      </c>
      <c r="E85" s="29" t="s">
        <v>51</v>
      </c>
      <c r="F85" s="36">
        <v>500</v>
      </c>
      <c r="G85" s="36"/>
      <c r="H85" s="58">
        <f t="shared" si="8"/>
        <v>700</v>
      </c>
      <c r="I85" s="157"/>
      <c r="J85" s="120"/>
      <c r="K85" s="120"/>
      <c r="L85" s="120"/>
      <c r="M85" s="120"/>
    </row>
    <row r="86" spans="1:13" ht="12.75" customHeight="1" x14ac:dyDescent="0.25">
      <c r="A86" s="37">
        <f t="shared" si="5"/>
        <v>5</v>
      </c>
      <c r="B86" s="37">
        <f t="shared" si="6"/>
        <v>2022</v>
      </c>
      <c r="C86" s="37" t="str">
        <f t="shared" si="9"/>
        <v>Income: 1</v>
      </c>
      <c r="D86" s="28">
        <v>44697</v>
      </c>
      <c r="E86" s="29" t="s">
        <v>51</v>
      </c>
      <c r="F86" s="36">
        <v>500</v>
      </c>
      <c r="G86" s="36"/>
      <c r="H86" s="58">
        <f t="shared" si="8"/>
        <v>200</v>
      </c>
      <c r="I86" s="120"/>
      <c r="J86" s="120"/>
      <c r="K86" s="120"/>
      <c r="L86" s="120"/>
      <c r="M86" s="120"/>
    </row>
    <row r="87" spans="1:13" ht="12.75" customHeight="1" x14ac:dyDescent="0.25">
      <c r="A87" s="37">
        <f t="shared" ref="A87:A102" si="10">MONTH(D87)</f>
        <v>6</v>
      </c>
      <c r="B87" s="37">
        <f t="shared" ref="B87:B102" si="11">YEAR(D87)</f>
        <v>2022</v>
      </c>
      <c r="C87" s="37" t="str">
        <f t="shared" si="9"/>
        <v>Rent: 1</v>
      </c>
      <c r="D87" s="40" t="str">
        <f>MOD(MONTH(D86), 12)+1 &amp; "/10/" &amp; YEAR(D86)</f>
        <v>6/10/2022</v>
      </c>
      <c r="E87" s="39" t="str">
        <f>"Rent: "&amp;LOOKUP(A87-1, Months, TextMonths)&amp;" '"&amp;B87</f>
        <v>Rent: Jun '2022</v>
      </c>
      <c r="F87" s="36"/>
      <c r="G87" s="36">
        <v>1700</v>
      </c>
      <c r="H87" s="58">
        <f t="shared" ref="H87:H94" si="12">H86+G87-F87</f>
        <v>1900</v>
      </c>
      <c r="I87" s="120"/>
      <c r="J87" s="120"/>
      <c r="K87" s="120"/>
      <c r="L87" s="120"/>
      <c r="M87" s="120"/>
    </row>
    <row r="88" spans="1:13" ht="12.75" customHeight="1" x14ac:dyDescent="0.25">
      <c r="A88" s="37">
        <f t="shared" si="10"/>
        <v>6</v>
      </c>
      <c r="B88" s="37">
        <f t="shared" si="11"/>
        <v>2022</v>
      </c>
      <c r="C88" s="37" t="str">
        <f t="shared" si="9"/>
        <v>Income: 1</v>
      </c>
      <c r="D88" s="28">
        <v>44718</v>
      </c>
      <c r="E88" s="29" t="s">
        <v>51</v>
      </c>
      <c r="F88" s="36">
        <v>200</v>
      </c>
      <c r="G88" s="36"/>
      <c r="H88" s="58">
        <f t="shared" si="12"/>
        <v>1700</v>
      </c>
      <c r="I88" s="120"/>
      <c r="J88" s="120"/>
      <c r="K88" s="120"/>
      <c r="L88" s="120"/>
      <c r="M88" s="120"/>
    </row>
    <row r="89" spans="1:13" ht="12.75" customHeight="1" x14ac:dyDescent="0.25">
      <c r="A89" s="37">
        <f t="shared" si="10"/>
        <v>6</v>
      </c>
      <c r="B89" s="37">
        <f t="shared" si="11"/>
        <v>2022</v>
      </c>
      <c r="C89" s="37" t="str">
        <f t="shared" si="9"/>
        <v>Income: 1</v>
      </c>
      <c r="D89" s="28">
        <v>44726</v>
      </c>
      <c r="E89" s="29" t="s">
        <v>51</v>
      </c>
      <c r="F89" s="36">
        <v>1700</v>
      </c>
      <c r="G89" s="36"/>
      <c r="H89" s="58">
        <f t="shared" si="12"/>
        <v>0</v>
      </c>
      <c r="I89" s="120"/>
      <c r="J89" s="120"/>
      <c r="K89" s="120"/>
      <c r="L89" s="120"/>
      <c r="M89" s="120"/>
    </row>
    <row r="90" spans="1:13" ht="14.25" customHeight="1" x14ac:dyDescent="0.25">
      <c r="A90" s="37">
        <f t="shared" si="10"/>
        <v>7</v>
      </c>
      <c r="B90" s="37">
        <f t="shared" si="11"/>
        <v>2022</v>
      </c>
      <c r="C90" s="37" t="str">
        <f t="shared" si="9"/>
        <v>Rent: 1</v>
      </c>
      <c r="D90" s="40" t="str">
        <f>MOD(MONTH(D89), 12)+1 &amp; "/10/" &amp; YEAR(D89)</f>
        <v>7/10/2022</v>
      </c>
      <c r="E90" s="39" t="str">
        <f>"Rent: "&amp;LOOKUP(A90-1, Months, TextMonths)&amp;" '"&amp;B90</f>
        <v>Rent: Jul '2022</v>
      </c>
      <c r="F90" s="36"/>
      <c r="G90" s="36">
        <v>1700</v>
      </c>
      <c r="H90" s="58">
        <f t="shared" si="12"/>
        <v>1700</v>
      </c>
      <c r="I90" s="120"/>
      <c r="J90" s="120"/>
      <c r="K90" s="120"/>
      <c r="L90" s="120"/>
      <c r="M90" s="120"/>
    </row>
    <row r="91" spans="1:13" ht="12.75" customHeight="1" x14ac:dyDescent="0.25">
      <c r="A91" s="37">
        <f t="shared" si="10"/>
        <v>7</v>
      </c>
      <c r="B91" s="37">
        <f t="shared" si="11"/>
        <v>2022</v>
      </c>
      <c r="C91" s="37" t="str">
        <f t="shared" si="9"/>
        <v>Income: 1</v>
      </c>
      <c r="D91" s="28">
        <v>44753</v>
      </c>
      <c r="E91" s="29" t="s">
        <v>51</v>
      </c>
      <c r="F91" s="36">
        <v>1700</v>
      </c>
      <c r="G91" s="36"/>
      <c r="H91" s="58">
        <f t="shared" si="12"/>
        <v>0</v>
      </c>
      <c r="I91" s="120"/>
      <c r="J91" s="120"/>
      <c r="K91" s="120"/>
      <c r="L91" s="120"/>
      <c r="M91" s="120"/>
    </row>
    <row r="92" spans="1:13" ht="12.75" customHeight="1" x14ac:dyDescent="0.25">
      <c r="A92" s="37">
        <f t="shared" si="10"/>
        <v>8</v>
      </c>
      <c r="B92" s="37">
        <f t="shared" si="11"/>
        <v>2022</v>
      </c>
      <c r="C92" s="37" t="str">
        <f t="shared" si="9"/>
        <v>Rent: 1</v>
      </c>
      <c r="D92" s="40" t="str">
        <f>MOD(MONTH(D91), 12)+1 &amp; "/10/" &amp; YEAR(D91)</f>
        <v>8/10/2022</v>
      </c>
      <c r="E92" s="39" t="str">
        <f>"Rent: "&amp;LOOKUP(A92-1, Months, TextMonths)&amp;" '"&amp;B92</f>
        <v>Rent: Aug '2022</v>
      </c>
      <c r="F92" s="36"/>
      <c r="G92" s="36">
        <v>1700</v>
      </c>
      <c r="H92" s="58">
        <f t="shared" si="12"/>
        <v>1700</v>
      </c>
      <c r="I92" s="120"/>
      <c r="J92" s="120"/>
      <c r="K92" s="120"/>
      <c r="L92" s="120"/>
      <c r="M92" s="120"/>
    </row>
    <row r="93" spans="1:13" ht="12.75" customHeight="1" x14ac:dyDescent="0.25">
      <c r="A93" s="37">
        <f t="shared" si="10"/>
        <v>8</v>
      </c>
      <c r="B93" s="37">
        <f t="shared" si="11"/>
        <v>2022</v>
      </c>
      <c r="C93" s="37" t="str">
        <f t="shared" si="9"/>
        <v>Income: 1</v>
      </c>
      <c r="D93" s="28">
        <v>44785</v>
      </c>
      <c r="E93" s="29" t="s">
        <v>51</v>
      </c>
      <c r="F93" s="36">
        <v>1112.5</v>
      </c>
      <c r="G93" s="36"/>
      <c r="H93" s="58">
        <f t="shared" si="12"/>
        <v>587.5</v>
      </c>
      <c r="I93" s="120"/>
      <c r="J93" s="120"/>
      <c r="K93" s="120"/>
      <c r="L93" s="120"/>
      <c r="M93" s="120"/>
    </row>
    <row r="94" spans="1:13" ht="12.75" customHeight="1" x14ac:dyDescent="0.25">
      <c r="A94" s="37">
        <f t="shared" si="10"/>
        <v>5</v>
      </c>
      <c r="B94" s="37">
        <f t="shared" si="11"/>
        <v>2022</v>
      </c>
      <c r="C94" s="37" t="str">
        <f t="shared" si="9"/>
        <v/>
      </c>
      <c r="D94" s="28">
        <v>44694</v>
      </c>
      <c r="E94" s="29" t="s">
        <v>114</v>
      </c>
      <c r="F94" s="36">
        <v>587.5</v>
      </c>
      <c r="G94" s="36"/>
      <c r="H94" s="58">
        <f t="shared" si="12"/>
        <v>0</v>
      </c>
      <c r="I94" s="120"/>
      <c r="J94" s="120"/>
      <c r="K94" s="120"/>
      <c r="L94" s="120"/>
      <c r="M94" s="120"/>
    </row>
    <row r="95" spans="1:13" ht="12.75" customHeight="1" x14ac:dyDescent="0.25">
      <c r="A95" s="37">
        <f t="shared" si="10"/>
        <v>9</v>
      </c>
      <c r="B95" s="37">
        <f t="shared" si="11"/>
        <v>2022</v>
      </c>
      <c r="C95" s="37" t="str">
        <f t="shared" si="9"/>
        <v>Rent: 1</v>
      </c>
      <c r="D95" s="40" t="str">
        <f>MOD(MONTH(D94), 12)+4 &amp; "/10/" &amp; YEAR(D94)</f>
        <v>9/10/2022</v>
      </c>
      <c r="E95" s="39" t="str">
        <f>"Rent: "&amp;LOOKUP(A95-1, Months, TextMonths)&amp;" '"&amp;B95</f>
        <v>Rent: Sep '2022</v>
      </c>
      <c r="F95" s="36"/>
      <c r="G95" s="36">
        <v>1700</v>
      </c>
      <c r="H95" s="58">
        <f t="shared" ref="H95:H102" si="13">H94+G95-F95</f>
        <v>1700</v>
      </c>
      <c r="I95" s="120"/>
      <c r="J95" s="120"/>
      <c r="K95" s="120"/>
      <c r="L95" s="120"/>
      <c r="M95" s="120"/>
    </row>
    <row r="96" spans="1:13" ht="12.75" customHeight="1" x14ac:dyDescent="0.25">
      <c r="A96" s="37">
        <f t="shared" si="10"/>
        <v>9</v>
      </c>
      <c r="B96" s="37">
        <f t="shared" si="11"/>
        <v>2022</v>
      </c>
      <c r="C96" s="37" t="str">
        <f t="shared" si="9"/>
        <v>Income: 1</v>
      </c>
      <c r="D96" s="28">
        <v>44817</v>
      </c>
      <c r="E96" s="29" t="s">
        <v>51</v>
      </c>
      <c r="F96" s="36">
        <v>1700</v>
      </c>
      <c r="G96" s="36"/>
      <c r="H96" s="58">
        <f t="shared" si="13"/>
        <v>0</v>
      </c>
      <c r="I96" s="120"/>
      <c r="J96" s="120"/>
      <c r="K96" s="120"/>
      <c r="L96" s="120"/>
      <c r="M96" s="120"/>
    </row>
    <row r="97" spans="1:13" ht="12.75" customHeight="1" x14ac:dyDescent="0.25">
      <c r="A97" s="37">
        <f t="shared" si="10"/>
        <v>10</v>
      </c>
      <c r="B97" s="37">
        <f t="shared" si="11"/>
        <v>2022</v>
      </c>
      <c r="C97" s="37" t="str">
        <f t="shared" si="9"/>
        <v>Rent: 1</v>
      </c>
      <c r="D97" s="40" t="str">
        <f>MOD(MONTH(D96)+1, 12) &amp; "/10/" &amp; YEAR(D96)</f>
        <v>10/10/2022</v>
      </c>
      <c r="E97" s="39" t="str">
        <f>"Rent: "&amp;LOOKUP(A97-1, Months, TextMonths)&amp;" '"&amp;B97</f>
        <v>Rent: Oct '2022</v>
      </c>
      <c r="F97" s="36"/>
      <c r="G97" s="36">
        <v>1700</v>
      </c>
      <c r="H97" s="58">
        <f t="shared" si="13"/>
        <v>1700</v>
      </c>
      <c r="I97" s="120"/>
      <c r="J97" s="120"/>
      <c r="K97" s="120"/>
      <c r="L97" s="120"/>
      <c r="M97" s="120"/>
    </row>
    <row r="98" spans="1:13" ht="12.75" customHeight="1" x14ac:dyDescent="0.25">
      <c r="A98" s="37">
        <f t="shared" si="10"/>
        <v>10</v>
      </c>
      <c r="B98" s="37">
        <f t="shared" si="11"/>
        <v>2022</v>
      </c>
      <c r="C98" s="37" t="str">
        <f t="shared" si="9"/>
        <v>Income: 1</v>
      </c>
      <c r="D98" s="28">
        <v>44846</v>
      </c>
      <c r="E98" s="29" t="s">
        <v>51</v>
      </c>
      <c r="F98" s="36">
        <v>1700</v>
      </c>
      <c r="G98" s="36"/>
      <c r="H98" s="58">
        <f t="shared" si="13"/>
        <v>0</v>
      </c>
      <c r="I98" s="120"/>
      <c r="J98" s="120"/>
      <c r="K98" s="120"/>
      <c r="L98" s="120"/>
      <c r="M98" s="120"/>
    </row>
    <row r="99" spans="1:13" ht="12.75" customHeight="1" x14ac:dyDescent="0.25">
      <c r="A99" s="37">
        <f t="shared" si="10"/>
        <v>11</v>
      </c>
      <c r="B99" s="37">
        <f t="shared" si="11"/>
        <v>2022</v>
      </c>
      <c r="C99" s="37" t="str">
        <f t="shared" si="9"/>
        <v>Rent: 1</v>
      </c>
      <c r="D99" s="40" t="str">
        <f>MOD(MONTH(D98)+1, 12) &amp; "/10/" &amp; YEAR(D98)</f>
        <v>11/10/2022</v>
      </c>
      <c r="E99" s="39" t="str">
        <f>"Rent: "&amp;LOOKUP(A99-1, Months, TextMonths)&amp;" '"&amp;B99</f>
        <v>Rent: Nov '2022</v>
      </c>
      <c r="F99" s="36"/>
      <c r="G99" s="36">
        <v>1700</v>
      </c>
      <c r="H99" s="58">
        <f t="shared" si="13"/>
        <v>1700</v>
      </c>
      <c r="I99" s="120"/>
      <c r="J99" s="120"/>
      <c r="K99" s="120"/>
      <c r="L99" s="120"/>
      <c r="M99" s="120"/>
    </row>
    <row r="100" spans="1:13" ht="12.75" customHeight="1" x14ac:dyDescent="0.25">
      <c r="A100" s="37">
        <f t="shared" si="10"/>
        <v>11</v>
      </c>
      <c r="B100" s="37">
        <f t="shared" si="11"/>
        <v>2022</v>
      </c>
      <c r="C100" s="37" t="str">
        <f t="shared" si="9"/>
        <v>Income: 1</v>
      </c>
      <c r="D100" s="28">
        <v>44879</v>
      </c>
      <c r="E100" s="29" t="s">
        <v>51</v>
      </c>
      <c r="F100" s="36">
        <v>1700</v>
      </c>
      <c r="G100" s="36"/>
      <c r="H100" s="58">
        <f t="shared" si="13"/>
        <v>0</v>
      </c>
      <c r="I100" s="120"/>
      <c r="J100" s="120"/>
      <c r="K100" s="120"/>
      <c r="L100" s="120"/>
      <c r="M100" s="120"/>
    </row>
    <row r="101" spans="1:13" ht="12.75" customHeight="1" x14ac:dyDescent="0.25">
      <c r="A101" s="37">
        <f t="shared" si="10"/>
        <v>12</v>
      </c>
      <c r="B101" s="37">
        <f t="shared" si="11"/>
        <v>2022</v>
      </c>
      <c r="C101" s="37" t="str">
        <f t="shared" si="9"/>
        <v>Rent: 1</v>
      </c>
      <c r="D101" s="40" t="str">
        <f>MOD(MONTH(D100), 12)+1 &amp; "/10/" &amp; YEAR(D100)</f>
        <v>12/10/2022</v>
      </c>
      <c r="E101" s="39" t="str">
        <f>"Rent: "&amp;LOOKUP(A101-1, Months, TextMonths)&amp;" '"&amp;B101</f>
        <v>Rent: Dec '2022</v>
      </c>
      <c r="F101" s="36"/>
      <c r="G101" s="36">
        <v>1700</v>
      </c>
      <c r="H101" s="58">
        <f t="shared" si="13"/>
        <v>1700</v>
      </c>
      <c r="I101" s="120"/>
      <c r="J101" s="120"/>
      <c r="K101" s="120"/>
      <c r="L101" s="120"/>
      <c r="M101" s="120"/>
    </row>
    <row r="102" spans="1:13" ht="12.75" customHeight="1" x14ac:dyDescent="0.25">
      <c r="A102" s="37">
        <f t="shared" si="10"/>
        <v>12</v>
      </c>
      <c r="B102" s="37">
        <f t="shared" si="11"/>
        <v>2022</v>
      </c>
      <c r="C102" s="37" t="str">
        <f t="shared" si="9"/>
        <v>Income: 1</v>
      </c>
      <c r="D102" s="28">
        <v>44907</v>
      </c>
      <c r="E102" s="29" t="s">
        <v>51</v>
      </c>
      <c r="F102" s="36">
        <v>1700</v>
      </c>
      <c r="G102" s="36"/>
      <c r="H102" s="58">
        <f t="shared" si="13"/>
        <v>0</v>
      </c>
      <c r="I102" s="120"/>
      <c r="J102" s="120"/>
      <c r="K102" s="120"/>
      <c r="L102" s="120"/>
      <c r="M102" s="120"/>
    </row>
    <row r="103" spans="1:13" ht="12.75" customHeight="1" x14ac:dyDescent="0.25">
      <c r="A103" s="57"/>
      <c r="B103" s="57"/>
      <c r="C103" s="37"/>
      <c r="D103" s="28"/>
      <c r="F103" s="36"/>
      <c r="G103" s="36"/>
      <c r="H103" s="36"/>
      <c r="I103" s="120"/>
      <c r="J103" s="120"/>
      <c r="K103" s="120"/>
      <c r="L103" s="120"/>
      <c r="M103" s="120"/>
    </row>
    <row r="104" spans="1:13" ht="12.75" customHeight="1" x14ac:dyDescent="0.25">
      <c r="A104" s="57"/>
      <c r="B104" s="57"/>
      <c r="C104" s="37"/>
      <c r="D104" s="28"/>
      <c r="F104" s="36"/>
      <c r="G104" s="36"/>
      <c r="H104" s="36"/>
      <c r="I104" s="120"/>
      <c r="J104" s="120"/>
      <c r="K104" s="120"/>
      <c r="L104" s="120"/>
      <c r="M104" s="120"/>
    </row>
    <row r="105" spans="1:13" ht="12.75" customHeight="1" x14ac:dyDescent="0.25">
      <c r="A105" s="57"/>
      <c r="B105" s="57"/>
      <c r="C105" s="37"/>
      <c r="D105" s="28"/>
      <c r="F105" s="36"/>
      <c r="G105" s="36"/>
      <c r="H105" s="36"/>
      <c r="I105" s="30"/>
    </row>
    <row r="106" spans="1:13" ht="12.75" customHeight="1" x14ac:dyDescent="0.25">
      <c r="A106" s="57"/>
      <c r="B106" s="57"/>
      <c r="C106" s="37"/>
      <c r="D106" s="28"/>
      <c r="F106" s="36"/>
      <c r="G106" s="36"/>
      <c r="H106" s="36"/>
      <c r="I106" s="30"/>
    </row>
    <row r="107" spans="1:13" ht="12.75" customHeight="1" x14ac:dyDescent="0.25">
      <c r="D107" s="28"/>
      <c r="F107" s="36"/>
      <c r="G107" s="36"/>
      <c r="H107" s="36"/>
    </row>
    <row r="108" spans="1:13" ht="14.25" customHeight="1" x14ac:dyDescent="0.25">
      <c r="D108" s="28"/>
      <c r="F108" s="36"/>
      <c r="G108" s="36"/>
      <c r="H108" s="36"/>
    </row>
    <row r="109" spans="1:13" ht="12.75" customHeight="1" x14ac:dyDescent="0.25">
      <c r="D109" s="28"/>
      <c r="F109" s="36"/>
      <c r="G109" s="36"/>
      <c r="H109" s="36"/>
      <c r="I109" s="30"/>
    </row>
    <row r="110" spans="1:13" ht="12.75" customHeight="1" x14ac:dyDescent="0.25">
      <c r="D110" s="28"/>
      <c r="F110" s="36"/>
      <c r="G110" s="36"/>
      <c r="H110" s="36"/>
    </row>
    <row r="111" spans="1:13" ht="14.25" customHeight="1" x14ac:dyDescent="0.25">
      <c r="D111" s="28"/>
      <c r="F111" s="36"/>
      <c r="G111" s="36"/>
      <c r="H111" s="36"/>
    </row>
    <row r="112" spans="1:13" ht="12.75" customHeight="1" x14ac:dyDescent="0.25">
      <c r="D112" s="28"/>
      <c r="F112" s="36"/>
      <c r="G112" s="36"/>
      <c r="H112" s="36"/>
    </row>
    <row r="113" spans="4:8" ht="14.25" customHeight="1" x14ac:dyDescent="0.25">
      <c r="D113" s="28"/>
      <c r="F113" s="36"/>
      <c r="G113" s="36"/>
      <c r="H113" s="36"/>
    </row>
    <row r="114" spans="4:8" ht="12.75" customHeight="1" x14ac:dyDescent="0.25">
      <c r="D114" s="28"/>
      <c r="F114" s="36"/>
      <c r="G114" s="36"/>
      <c r="H114" s="36"/>
    </row>
    <row r="115" spans="4:8" ht="14.25" customHeight="1" x14ac:dyDescent="0.25">
      <c r="D115" s="28"/>
      <c r="F115" s="36"/>
      <c r="G115" s="36"/>
      <c r="H115" s="36"/>
    </row>
    <row r="116" spans="4:8" ht="12.75" customHeight="1" x14ac:dyDescent="0.25">
      <c r="D116" s="28"/>
      <c r="F116" s="36"/>
      <c r="G116" s="36"/>
      <c r="H116" s="36"/>
    </row>
    <row r="117" spans="4:8" ht="14.25" customHeight="1" x14ac:dyDescent="0.25">
      <c r="D117" s="28"/>
      <c r="F117" s="36"/>
      <c r="G117" s="36"/>
      <c r="H117" s="36"/>
    </row>
    <row r="118" spans="4:8" ht="12.75" customHeight="1" x14ac:dyDescent="0.25">
      <c r="D118" s="28"/>
      <c r="F118" s="36"/>
      <c r="G118" s="36"/>
      <c r="H118" s="36"/>
    </row>
    <row r="119" spans="4:8" ht="14.25" customHeight="1" x14ac:dyDescent="0.25">
      <c r="D119" s="28"/>
      <c r="F119" s="36"/>
      <c r="G119" s="36"/>
      <c r="H119" s="36"/>
    </row>
    <row r="120" spans="4:8" ht="14.25" customHeight="1" x14ac:dyDescent="0.25">
      <c r="F120" s="36"/>
      <c r="G120" s="36"/>
      <c r="H120" s="36"/>
    </row>
    <row r="121" spans="4:8" ht="14.25" customHeight="1" x14ac:dyDescent="0.25">
      <c r="F121" s="36"/>
      <c r="G121" s="36"/>
      <c r="H121" s="36"/>
    </row>
    <row r="122" spans="4:8" ht="12.75" customHeight="1" x14ac:dyDescent="0.25">
      <c r="F122" s="36"/>
      <c r="G122" s="36"/>
      <c r="H122" s="36"/>
    </row>
    <row r="123" spans="4:8" ht="14.25" customHeight="1" x14ac:dyDescent="0.25">
      <c r="F123" s="36"/>
      <c r="G123" s="36"/>
      <c r="H123" s="36"/>
    </row>
    <row r="124" spans="4:8" ht="14.25" customHeight="1" x14ac:dyDescent="0.25">
      <c r="F124" s="36"/>
      <c r="G124" s="36"/>
      <c r="H124" s="36"/>
    </row>
    <row r="125" spans="4:8" ht="12.75" customHeight="1" x14ac:dyDescent="0.25">
      <c r="F125" s="36"/>
      <c r="G125" s="36"/>
      <c r="H125" s="36"/>
    </row>
    <row r="126" spans="4:8" ht="14.25" customHeight="1" x14ac:dyDescent="0.25">
      <c r="F126" s="36"/>
      <c r="G126" s="36"/>
      <c r="H126" s="36"/>
    </row>
    <row r="127" spans="4:8" ht="12.75" customHeight="1" x14ac:dyDescent="0.25">
      <c r="F127" s="36"/>
      <c r="G127" s="36"/>
      <c r="H127" s="36"/>
    </row>
    <row r="128" spans="4:8" ht="14.25" customHeight="1" x14ac:dyDescent="0.25">
      <c r="F128" s="36"/>
      <c r="G128" s="36"/>
      <c r="H128" s="36"/>
    </row>
    <row r="129" spans="6:9" ht="14.25" customHeight="1" x14ac:dyDescent="0.25">
      <c r="F129" s="36"/>
      <c r="G129" s="36"/>
      <c r="H129" s="36"/>
    </row>
    <row r="130" spans="6:9" ht="12.75" customHeight="1" x14ac:dyDescent="0.25">
      <c r="F130" s="36"/>
      <c r="G130" s="36"/>
      <c r="H130" s="36"/>
    </row>
    <row r="131" spans="6:9" ht="14.25" customHeight="1" x14ac:dyDescent="0.25">
      <c r="F131" s="36"/>
      <c r="G131" s="36"/>
      <c r="H131" s="36"/>
    </row>
    <row r="132" spans="6:9" ht="12.75" customHeight="1" x14ac:dyDescent="0.25">
      <c r="F132" s="36"/>
      <c r="G132" s="36"/>
      <c r="H132" s="36"/>
    </row>
    <row r="133" spans="6:9" ht="14.25" customHeight="1" x14ac:dyDescent="0.25">
      <c r="F133" s="36"/>
      <c r="G133" s="36"/>
      <c r="H133" s="36"/>
    </row>
    <row r="134" spans="6:9" ht="12.75" customHeight="1" x14ac:dyDescent="0.25">
      <c r="F134" s="36"/>
      <c r="G134" s="36"/>
      <c r="H134" s="36"/>
    </row>
    <row r="135" spans="6:9" ht="14.25" customHeight="1" x14ac:dyDescent="0.25">
      <c r="F135" s="36"/>
      <c r="G135" s="36"/>
      <c r="H135" s="36"/>
    </row>
    <row r="136" spans="6:9" ht="14.25" customHeight="1" x14ac:dyDescent="0.25">
      <c r="F136" s="36"/>
      <c r="G136" s="36"/>
      <c r="H136" s="36"/>
    </row>
    <row r="137" spans="6:9" ht="12.75" customHeight="1" x14ac:dyDescent="0.25">
      <c r="F137" s="36"/>
      <c r="G137" s="36"/>
      <c r="H137" s="36"/>
    </row>
    <row r="138" spans="6:9" ht="14.25" customHeight="1" x14ac:dyDescent="0.25">
      <c r="F138" s="36"/>
      <c r="G138" s="36"/>
      <c r="H138" s="36"/>
      <c r="I138" s="29"/>
    </row>
    <row r="139" spans="6:9" ht="12.75" customHeight="1" x14ac:dyDescent="0.25">
      <c r="F139" s="36"/>
      <c r="G139" s="36"/>
      <c r="H139" s="36"/>
    </row>
    <row r="140" spans="6:9" ht="14.25" customHeight="1" x14ac:dyDescent="0.25">
      <c r="F140" s="36"/>
      <c r="G140" s="36"/>
      <c r="H140" s="36"/>
      <c r="I140" s="29"/>
    </row>
    <row r="141" spans="6:9" ht="12.75" customHeight="1" x14ac:dyDescent="0.25">
      <c r="F141" s="36"/>
      <c r="G141" s="36"/>
      <c r="H141" s="36"/>
    </row>
    <row r="142" spans="6:9" ht="12.75" customHeight="1" x14ac:dyDescent="0.25">
      <c r="F142" s="36"/>
      <c r="G142" s="36"/>
      <c r="H142" s="36"/>
    </row>
    <row r="143" spans="6:9" ht="12.75" customHeight="1" x14ac:dyDescent="0.25">
      <c r="F143" s="36"/>
      <c r="G143" s="36"/>
      <c r="H143" s="36"/>
    </row>
    <row r="144" spans="6:9" ht="12.75" customHeight="1" x14ac:dyDescent="0.25">
      <c r="F144" s="36"/>
      <c r="G144" s="36"/>
      <c r="H144" s="36"/>
    </row>
    <row r="145" spans="6:8" ht="12.75" customHeight="1" x14ac:dyDescent="0.25">
      <c r="F145" s="36"/>
      <c r="G145" s="36"/>
      <c r="H145" s="36"/>
    </row>
    <row r="146" spans="6:8" ht="12.75" customHeight="1" x14ac:dyDescent="0.25">
      <c r="F146" s="36"/>
      <c r="G146" s="36"/>
      <c r="H146" s="36"/>
    </row>
    <row r="147" spans="6:8" ht="12.75" customHeight="1" x14ac:dyDescent="0.25">
      <c r="F147" s="36"/>
      <c r="G147" s="36"/>
      <c r="H147" s="36"/>
    </row>
    <row r="148" spans="6:8" ht="12.75" customHeight="1" x14ac:dyDescent="0.25">
      <c r="F148" s="36"/>
      <c r="G148" s="36"/>
      <c r="H148" s="36"/>
    </row>
    <row r="149" spans="6:8" ht="12.75" customHeight="1" x14ac:dyDescent="0.25">
      <c r="F149" s="36"/>
      <c r="G149" s="36"/>
      <c r="H149" s="36"/>
    </row>
    <row r="150" spans="6:8" ht="12.75" customHeight="1" x14ac:dyDescent="0.25">
      <c r="F150" s="36"/>
      <c r="G150" s="36"/>
      <c r="H150" s="36"/>
    </row>
    <row r="151" spans="6:8" ht="12.75" customHeight="1" x14ac:dyDescent="0.25">
      <c r="F151" s="36"/>
      <c r="G151" s="36"/>
      <c r="H151" s="36"/>
    </row>
    <row r="152" spans="6:8" ht="12.75" customHeight="1" x14ac:dyDescent="0.25">
      <c r="F152" s="36"/>
      <c r="G152" s="36"/>
      <c r="H152" s="36"/>
    </row>
    <row r="153" spans="6:8" ht="12.75" customHeight="1" x14ac:dyDescent="0.25">
      <c r="F153" s="36"/>
      <c r="G153" s="36"/>
      <c r="H153" s="36"/>
    </row>
    <row r="154" spans="6:8" ht="12.75" customHeight="1" x14ac:dyDescent="0.25">
      <c r="F154" s="36"/>
      <c r="G154" s="36"/>
      <c r="H154" s="36"/>
    </row>
    <row r="155" spans="6:8" ht="12.75" customHeight="1" x14ac:dyDescent="0.25">
      <c r="F155" s="36"/>
      <c r="G155" s="36"/>
      <c r="H155" s="36"/>
    </row>
    <row r="156" spans="6:8" ht="12.75" customHeight="1" x14ac:dyDescent="0.25">
      <c r="F156" s="36"/>
      <c r="G156" s="36"/>
      <c r="H156" s="36"/>
    </row>
    <row r="157" spans="6:8" ht="12.75" customHeight="1" x14ac:dyDescent="0.25">
      <c r="F157" s="36"/>
      <c r="G157" s="36"/>
      <c r="H157" s="36"/>
    </row>
    <row r="158" spans="6:8" ht="12.75" customHeight="1" x14ac:dyDescent="0.25">
      <c r="F158" s="36"/>
      <c r="G158" s="36"/>
      <c r="H158" s="36"/>
    </row>
    <row r="159" spans="6:8" ht="12.75" customHeight="1" x14ac:dyDescent="0.25">
      <c r="F159" s="36"/>
      <c r="G159" s="36"/>
      <c r="H159" s="36"/>
    </row>
    <row r="160" spans="6:8" ht="12.75" customHeight="1" x14ac:dyDescent="0.25">
      <c r="F160" s="36"/>
      <c r="G160" s="36"/>
      <c r="H160" s="36"/>
    </row>
    <row r="161" spans="6:8" ht="12.75" customHeight="1" x14ac:dyDescent="0.25">
      <c r="F161" s="36"/>
      <c r="G161" s="36"/>
      <c r="H161" s="36"/>
    </row>
    <row r="162" spans="6:8" ht="12.75" customHeight="1" x14ac:dyDescent="0.25">
      <c r="F162" s="36"/>
      <c r="G162" s="36"/>
      <c r="H162" s="36"/>
    </row>
    <row r="163" spans="6:8" ht="12.75" customHeight="1" x14ac:dyDescent="0.25">
      <c r="F163" s="36"/>
      <c r="G163" s="36"/>
      <c r="H163" s="36"/>
    </row>
    <row r="164" spans="6:8" ht="12.75" customHeight="1" x14ac:dyDescent="0.25">
      <c r="F164" s="36"/>
      <c r="G164" s="36"/>
      <c r="H164" s="36"/>
    </row>
    <row r="165" spans="6:8" ht="12.75" customHeight="1" x14ac:dyDescent="0.25">
      <c r="F165" s="36"/>
      <c r="G165" s="36"/>
      <c r="H165" s="36"/>
    </row>
    <row r="166" spans="6:8" ht="12.75" customHeight="1" x14ac:dyDescent="0.25">
      <c r="F166" s="36"/>
      <c r="G166" s="36"/>
      <c r="H166" s="36"/>
    </row>
    <row r="167" spans="6:8" ht="12.75" customHeight="1" x14ac:dyDescent="0.25">
      <c r="F167" s="36"/>
      <c r="G167" s="36"/>
      <c r="H167" s="36"/>
    </row>
    <row r="168" spans="6:8" ht="12.75" customHeight="1" x14ac:dyDescent="0.25">
      <c r="F168" s="36"/>
      <c r="G168" s="36"/>
      <c r="H168" s="36"/>
    </row>
    <row r="169" spans="6:8" ht="12.75" customHeight="1" x14ac:dyDescent="0.25">
      <c r="F169" s="36"/>
      <c r="G169" s="36"/>
      <c r="H169" s="36"/>
    </row>
    <row r="170" spans="6:8" ht="12.75" customHeight="1" x14ac:dyDescent="0.25">
      <c r="F170" s="36"/>
      <c r="G170" s="36"/>
      <c r="H170" s="36"/>
    </row>
    <row r="171" spans="6:8" ht="12.75" customHeight="1" x14ac:dyDescent="0.25">
      <c r="F171" s="36"/>
      <c r="G171" s="36"/>
      <c r="H171" s="36"/>
    </row>
    <row r="172" spans="6:8" ht="12.75" customHeight="1" x14ac:dyDescent="0.25">
      <c r="F172" s="36"/>
      <c r="G172" s="36"/>
      <c r="H172" s="36"/>
    </row>
    <row r="173" spans="6:8" ht="12.75" customHeight="1" x14ac:dyDescent="0.25">
      <c r="F173" s="36"/>
      <c r="G173" s="36"/>
      <c r="H173" s="36"/>
    </row>
    <row r="174" spans="6:8" ht="12.75" customHeight="1" x14ac:dyDescent="0.25">
      <c r="F174" s="36"/>
      <c r="G174" s="36"/>
      <c r="H174" s="36"/>
    </row>
    <row r="175" spans="6:8" ht="12.75" customHeight="1" x14ac:dyDescent="0.25">
      <c r="F175" s="36"/>
      <c r="G175" s="36"/>
      <c r="H175" s="36"/>
    </row>
    <row r="176" spans="6:8" ht="12.75" customHeight="1" x14ac:dyDescent="0.25">
      <c r="F176" s="36"/>
      <c r="G176" s="36"/>
      <c r="H176" s="36"/>
    </row>
    <row r="177" spans="6:8" ht="12.75" customHeight="1" x14ac:dyDescent="0.25">
      <c r="F177" s="36"/>
      <c r="G177" s="36"/>
      <c r="H177" s="36"/>
    </row>
    <row r="178" spans="6:8" ht="12.75" customHeight="1" x14ac:dyDescent="0.25">
      <c r="F178" s="36"/>
      <c r="G178" s="36"/>
      <c r="H178" s="36"/>
    </row>
    <row r="179" spans="6:8" ht="12.75" customHeight="1" x14ac:dyDescent="0.25">
      <c r="F179" s="36"/>
      <c r="G179" s="36"/>
      <c r="H179" s="36"/>
    </row>
    <row r="180" spans="6:8" ht="12.75" customHeight="1" x14ac:dyDescent="0.25">
      <c r="F180" s="36"/>
      <c r="G180" s="36"/>
      <c r="H180" s="36"/>
    </row>
    <row r="181" spans="6:8" ht="12.75" customHeight="1" x14ac:dyDescent="0.25">
      <c r="F181" s="36"/>
      <c r="G181" s="36"/>
      <c r="H181" s="36"/>
    </row>
    <row r="182" spans="6:8" ht="12.75" customHeight="1" x14ac:dyDescent="0.25">
      <c r="F182" s="36"/>
      <c r="G182" s="36"/>
      <c r="H182" s="36"/>
    </row>
    <row r="183" spans="6:8" ht="12.75" customHeight="1" x14ac:dyDescent="0.25">
      <c r="F183" s="36"/>
      <c r="G183" s="36"/>
      <c r="H183" s="36"/>
    </row>
    <row r="184" spans="6:8" ht="12.75" customHeight="1" x14ac:dyDescent="0.25">
      <c r="F184" s="36"/>
      <c r="G184" s="36"/>
      <c r="H184" s="36"/>
    </row>
    <row r="185" spans="6:8" ht="12.75" customHeight="1" x14ac:dyDescent="0.25">
      <c r="F185" s="36"/>
      <c r="G185" s="36"/>
      <c r="H185" s="36"/>
    </row>
    <row r="186" spans="6:8" ht="12.75" customHeight="1" x14ac:dyDescent="0.25">
      <c r="F186" s="36"/>
      <c r="G186" s="36"/>
      <c r="H186" s="36"/>
    </row>
    <row r="187" spans="6:8" ht="12.75" customHeight="1" x14ac:dyDescent="0.25">
      <c r="F187" s="36"/>
      <c r="G187" s="36"/>
      <c r="H187" s="36"/>
    </row>
    <row r="188" spans="6:8" ht="12.75" customHeight="1" x14ac:dyDescent="0.25">
      <c r="F188" s="36"/>
      <c r="G188" s="36"/>
      <c r="H188" s="36"/>
    </row>
    <row r="189" spans="6:8" ht="12.75" customHeight="1" x14ac:dyDescent="0.25">
      <c r="F189" s="36"/>
      <c r="G189" s="36"/>
      <c r="H189" s="36"/>
    </row>
    <row r="190" spans="6:8" ht="12.75" customHeight="1" x14ac:dyDescent="0.25">
      <c r="F190" s="36"/>
      <c r="G190" s="36"/>
      <c r="H190" s="36"/>
    </row>
    <row r="191" spans="6:8" ht="12.75" customHeight="1" x14ac:dyDescent="0.25">
      <c r="F191" s="36"/>
      <c r="G191" s="36"/>
      <c r="H191" s="36"/>
    </row>
    <row r="192" spans="6:8" ht="12.75" customHeight="1" x14ac:dyDescent="0.25">
      <c r="F192" s="36"/>
      <c r="G192" s="36"/>
      <c r="H192" s="36"/>
    </row>
    <row r="193" spans="6:8" ht="12.75" customHeight="1" x14ac:dyDescent="0.25">
      <c r="F193" s="36"/>
      <c r="G193" s="36"/>
      <c r="H193" s="36"/>
    </row>
    <row r="194" spans="6:8" ht="12.75" customHeight="1" x14ac:dyDescent="0.25">
      <c r="F194" s="36"/>
      <c r="G194" s="36"/>
      <c r="H194" s="36"/>
    </row>
    <row r="195" spans="6:8" ht="12.75" customHeight="1" x14ac:dyDescent="0.25">
      <c r="F195" s="36"/>
      <c r="G195" s="36"/>
      <c r="H195" s="36"/>
    </row>
    <row r="196" spans="6:8" ht="12.75" customHeight="1" x14ac:dyDescent="0.25">
      <c r="F196" s="36"/>
      <c r="G196" s="36"/>
      <c r="H196" s="36"/>
    </row>
    <row r="197" spans="6:8" ht="12.75" customHeight="1" x14ac:dyDescent="0.25">
      <c r="F197" s="36"/>
      <c r="G197" s="36"/>
      <c r="H197" s="36"/>
    </row>
    <row r="198" spans="6:8" ht="12.75" customHeight="1" x14ac:dyDescent="0.25">
      <c r="F198" s="36"/>
      <c r="G198" s="36"/>
      <c r="H198" s="36"/>
    </row>
    <row r="199" spans="6:8" ht="12.75" customHeight="1" x14ac:dyDescent="0.25">
      <c r="F199" s="36"/>
      <c r="G199" s="36"/>
      <c r="H199" s="36"/>
    </row>
    <row r="200" spans="6:8" ht="12.75" customHeight="1" x14ac:dyDescent="0.25">
      <c r="F200" s="36"/>
      <c r="G200" s="36"/>
      <c r="H200" s="36"/>
    </row>
    <row r="201" spans="6:8" ht="12.75" customHeight="1" x14ac:dyDescent="0.25">
      <c r="F201" s="36"/>
      <c r="G201" s="36"/>
      <c r="H201" s="36"/>
    </row>
    <row r="202" spans="6:8" ht="12.75" customHeight="1" x14ac:dyDescent="0.25">
      <c r="F202" s="36"/>
      <c r="G202" s="36"/>
      <c r="H202" s="36"/>
    </row>
    <row r="203" spans="6:8" ht="12.75" customHeight="1" x14ac:dyDescent="0.25">
      <c r="F203" s="36"/>
      <c r="G203" s="36"/>
      <c r="H203" s="36"/>
    </row>
    <row r="204" spans="6:8" ht="12.75" customHeight="1" x14ac:dyDescent="0.25">
      <c r="F204" s="36"/>
      <c r="G204" s="36"/>
      <c r="H204" s="36"/>
    </row>
    <row r="205" spans="6:8" ht="12.75" customHeight="1" x14ac:dyDescent="0.25">
      <c r="F205" s="36"/>
      <c r="G205" s="36"/>
      <c r="H205" s="36"/>
    </row>
    <row r="206" spans="6:8" ht="12.75" customHeight="1" x14ac:dyDescent="0.25">
      <c r="F206" s="36"/>
      <c r="G206" s="36"/>
      <c r="H206" s="36"/>
    </row>
    <row r="207" spans="6:8" ht="12.75" customHeight="1" x14ac:dyDescent="0.25">
      <c r="F207" s="36"/>
      <c r="G207" s="36"/>
      <c r="H207" s="36"/>
    </row>
    <row r="208" spans="6:8" ht="12.75" customHeight="1" x14ac:dyDescent="0.25">
      <c r="F208" s="36"/>
      <c r="G208" s="36"/>
      <c r="H208" s="36"/>
    </row>
    <row r="209" spans="6:8" ht="12.75" customHeight="1" x14ac:dyDescent="0.25">
      <c r="F209" s="36"/>
      <c r="G209" s="36"/>
      <c r="H209" s="36"/>
    </row>
    <row r="210" spans="6:8" ht="12.75" customHeight="1" x14ac:dyDescent="0.25">
      <c r="F210" s="36"/>
      <c r="G210" s="36"/>
      <c r="H210" s="36"/>
    </row>
    <row r="211" spans="6:8" ht="12.75" customHeight="1" x14ac:dyDescent="0.25">
      <c r="F211" s="36"/>
      <c r="G211" s="36"/>
      <c r="H211" s="36"/>
    </row>
    <row r="212" spans="6:8" ht="12.75" customHeight="1" x14ac:dyDescent="0.25">
      <c r="F212" s="36"/>
      <c r="G212" s="36"/>
      <c r="H212" s="36"/>
    </row>
    <row r="213" spans="6:8" ht="12.75" customHeight="1" x14ac:dyDescent="0.25">
      <c r="F213" s="36"/>
      <c r="G213" s="36"/>
      <c r="H213" s="36"/>
    </row>
    <row r="214" spans="6:8" ht="12.75" customHeight="1" x14ac:dyDescent="0.25">
      <c r="F214" s="36"/>
      <c r="G214" s="36"/>
      <c r="H214" s="36"/>
    </row>
    <row r="215" spans="6:8" ht="12.75" customHeight="1" x14ac:dyDescent="0.25">
      <c r="F215" s="36"/>
      <c r="G215" s="36"/>
      <c r="H215" s="36"/>
    </row>
    <row r="216" spans="6:8" ht="12.75" customHeight="1" x14ac:dyDescent="0.25">
      <c r="F216" s="36"/>
      <c r="G216" s="36"/>
      <c r="H216" s="36"/>
    </row>
    <row r="217" spans="6:8" ht="12.75" customHeight="1" x14ac:dyDescent="0.25">
      <c r="F217" s="36"/>
      <c r="G217" s="36"/>
      <c r="H217" s="36"/>
    </row>
    <row r="218" spans="6:8" ht="12.75" customHeight="1" x14ac:dyDescent="0.25">
      <c r="F218" s="36"/>
      <c r="G218" s="36"/>
      <c r="H218" s="36"/>
    </row>
    <row r="219" spans="6:8" ht="12.75" customHeight="1" x14ac:dyDescent="0.25">
      <c r="F219" s="36"/>
      <c r="G219" s="36"/>
      <c r="H219" s="36"/>
    </row>
    <row r="220" spans="6:8" ht="12.75" customHeight="1" x14ac:dyDescent="0.25">
      <c r="F220" s="36"/>
      <c r="G220" s="36"/>
      <c r="H220" s="36"/>
    </row>
    <row r="221" spans="6:8" ht="12.75" customHeight="1" x14ac:dyDescent="0.25">
      <c r="F221" s="36"/>
      <c r="G221" s="36"/>
      <c r="H221" s="36"/>
    </row>
    <row r="222" spans="6:8" ht="12.75" customHeight="1" x14ac:dyDescent="0.25">
      <c r="F222" s="36"/>
      <c r="G222" s="36"/>
      <c r="H222" s="36"/>
    </row>
    <row r="223" spans="6:8" ht="12.75" customHeight="1" x14ac:dyDescent="0.25">
      <c r="F223" s="36"/>
      <c r="G223" s="36"/>
      <c r="H223" s="36"/>
    </row>
    <row r="224" spans="6:8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/>
    <row r="939" spans="6:8" ht="12.75" customHeight="1" x14ac:dyDescent="0.25"/>
    <row r="940" spans="6:8" ht="12.75" customHeight="1" x14ac:dyDescent="0.25"/>
    <row r="941" spans="6:8" ht="12.75" customHeight="1" x14ac:dyDescent="0.25"/>
    <row r="942" spans="6:8" ht="12.75" customHeight="1" x14ac:dyDescent="0.25"/>
    <row r="943" spans="6:8" ht="12.75" customHeight="1" x14ac:dyDescent="0.25"/>
    <row r="944" spans="6:8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</sheetData>
  <dataValidations disablePrompts="1" count="1">
    <dataValidation type="list" allowBlank="1" showErrorMessage="1" sqref="F1" xr:uid="{00000000-0002-0000-0B00-000001000000}">
      <formula1>Years</formula1>
    </dataValidation>
  </dataValidations>
  <pageMargins left="0.75" right="0.75" top="1" bottom="1" header="0" footer="0"/>
  <pageSetup orientation="portrait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Z1001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4296875" defaultRowHeight="15" customHeight="1" x14ac:dyDescent="0.25"/>
  <cols>
    <col min="1" max="1" width="6.1796875" customWidth="1"/>
    <col min="2" max="2" width="5" customWidth="1"/>
    <col min="3" max="3" width="9.453125" customWidth="1"/>
    <col min="4" max="4" width="10.54296875" customWidth="1"/>
    <col min="5" max="5" width="36.1796875" customWidth="1"/>
    <col min="6" max="6" width="13.453125" customWidth="1"/>
    <col min="7" max="8" width="14.81640625" customWidth="1"/>
    <col min="9" max="9" width="11.81640625" customWidth="1"/>
    <col min="10" max="10" width="14.453125" customWidth="1"/>
    <col min="11" max="11" width="11" customWidth="1"/>
    <col min="12" max="12" width="15.1796875" customWidth="1"/>
    <col min="13" max="13" width="11.81640625" customWidth="1"/>
    <col min="14" max="14" width="15.54296875" customWidth="1"/>
    <col min="15" max="26" width="8.54296875" customWidth="1"/>
  </cols>
  <sheetData>
    <row r="1" spans="1:26" ht="12.75" customHeight="1" x14ac:dyDescent="0.3">
      <c r="C1" t="s">
        <v>123</v>
      </c>
      <c r="D1" s="160" t="s">
        <v>144</v>
      </c>
      <c r="E1" s="102"/>
      <c r="F1" s="102"/>
      <c r="G1" s="148" t="s">
        <v>119</v>
      </c>
      <c r="H1" s="34"/>
      <c r="I1" s="145"/>
      <c r="J1" s="102" t="s">
        <v>42</v>
      </c>
      <c r="K1" s="51"/>
      <c r="L1" s="51"/>
    </row>
    <row r="2" spans="1:26" ht="12.75" customHeight="1" x14ac:dyDescent="0.3">
      <c r="D2" t="s">
        <v>143</v>
      </c>
      <c r="E2" s="102"/>
      <c r="F2" s="146"/>
      <c r="G2" s="149">
        <v>5</v>
      </c>
      <c r="H2" s="103"/>
      <c r="I2" s="151" t="s">
        <v>41</v>
      </c>
      <c r="J2" s="102"/>
      <c r="K2" s="51"/>
    </row>
    <row r="3" spans="1:26" ht="12.75" customHeight="1" x14ac:dyDescent="0.35">
      <c r="A3" s="30">
        <f>COUNTIF(A5:A65348, "&lt;&gt;")+4</f>
        <v>59</v>
      </c>
      <c r="D3" s="35">
        <f t="array" ref="D3">INDEX(D6:D65347, A3)</f>
        <v>0</v>
      </c>
      <c r="E3" s="120"/>
      <c r="F3" s="103"/>
      <c r="G3" s="147" t="s">
        <v>40</v>
      </c>
      <c r="H3" s="150" cm="1">
        <f t="array" ref="H3">INDEX(H6:H65344, A3)</f>
        <v>0</v>
      </c>
      <c r="I3" s="152">
        <v>45777</v>
      </c>
      <c r="J3" s="103"/>
      <c r="K3" s="67" t="s">
        <v>63</v>
      </c>
    </row>
    <row r="4" spans="1:26" ht="12.75" customHeight="1" x14ac:dyDescent="0.3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3">
      <c r="A5" s="55">
        <f>MONTH(D5)</f>
        <v>8</v>
      </c>
      <c r="B5" s="55">
        <f>YEAR(D5)</f>
        <v>2018</v>
      </c>
      <c r="C5" s="55" t="str">
        <f t="shared" ref="C5" si="0">IFERROR("Rent: "&amp;FIND("Rent",E5),IFERROR("Priv Tax: "&amp;FIND("Tax",E5), IFERROR("Income: "&amp;FIND("Payment",E5,1),"")))</f>
        <v/>
      </c>
      <c r="D5" s="165">
        <v>43342</v>
      </c>
      <c r="E5" s="173" t="s">
        <v>151</v>
      </c>
      <c r="F5" s="56"/>
      <c r="G5" s="56"/>
      <c r="H5" s="56"/>
      <c r="I5" s="30"/>
    </row>
    <row r="6" spans="1:26" ht="12.75" customHeight="1" x14ac:dyDescent="0.3">
      <c r="A6" s="159" t="s">
        <v>128</v>
      </c>
      <c r="B6" s="36"/>
      <c r="C6" s="36"/>
      <c r="D6" s="158" t="s">
        <v>131</v>
      </c>
      <c r="E6" s="36"/>
      <c r="F6" s="36"/>
      <c r="G6" s="36"/>
      <c r="H6" s="36"/>
      <c r="I6" s="120"/>
      <c r="J6" s="120"/>
      <c r="K6" s="120"/>
      <c r="L6" s="120"/>
      <c r="M6" s="120"/>
    </row>
    <row r="7" spans="1:26" ht="12.75" customHeight="1" x14ac:dyDescent="0.35">
      <c r="A7" s="37">
        <f t="shared" ref="A7:A41" si="1">MONTH(D7)</f>
        <v>4</v>
      </c>
      <c r="B7" s="37">
        <f t="shared" ref="B7:B41" si="2">YEAR(D7)</f>
        <v>2021</v>
      </c>
      <c r="C7" s="37" t="str">
        <f>IFERROR("Late Fee "&amp;FIND("Late Fee",E7),IFERROR("Internet "&amp;FIND("Internet",E7),IFERROR("Utilities "&amp;FIND("Utilities",E7),IFERROR("Rent: "&amp;FIND("Rent",E7),IFERROR("Priv Tax: "&amp;FIND("Tax",E7),IFERROR("Income: "&amp;FIND("Payment",E7,1),""))))))</f>
        <v/>
      </c>
      <c r="D7" s="28">
        <v>44312</v>
      </c>
      <c r="E7" s="70" t="s">
        <v>49</v>
      </c>
      <c r="F7" s="36"/>
      <c r="G7" s="36">
        <v>1850</v>
      </c>
      <c r="H7" s="38">
        <f>G7-F7</f>
        <v>1850</v>
      </c>
      <c r="I7" s="120"/>
      <c r="J7" s="120"/>
      <c r="K7" s="146"/>
      <c r="L7" s="102"/>
      <c r="M7" s="120"/>
      <c r="N7" s="15"/>
    </row>
    <row r="8" spans="1:26" ht="12.75" customHeight="1" x14ac:dyDescent="0.35">
      <c r="A8" s="37">
        <f t="shared" si="1"/>
        <v>4</v>
      </c>
      <c r="B8" s="37">
        <f t="shared" si="2"/>
        <v>2021</v>
      </c>
      <c r="C8" s="37" t="str">
        <f t="shared" ref="C8:C41" si="3">IFERROR("Late Fee "&amp;FIND("Late Fee",E8),IFERROR("Internet "&amp;FIND("Internet",E8),IFERROR("Utilities "&amp;FIND("Utilities",E8),IFERROR("Rent: "&amp;FIND("Rent",E8),IFERROR("Priv Tax: "&amp;FIND("Tax",E8),IFERROR("Income: "&amp;FIND("Payment",E8,1),""))))))</f>
        <v/>
      </c>
      <c r="D8" s="28">
        <v>44312</v>
      </c>
      <c r="E8" s="70" t="s">
        <v>66</v>
      </c>
      <c r="F8" s="36"/>
      <c r="G8" s="36">
        <v>400</v>
      </c>
      <c r="H8" s="38">
        <f t="shared" ref="H8:H45" si="4">H7+G8-F8</f>
        <v>2250</v>
      </c>
      <c r="I8" s="120"/>
      <c r="J8" s="120"/>
      <c r="K8" s="146"/>
      <c r="L8" s="102"/>
      <c r="M8" s="146"/>
    </row>
    <row r="9" spans="1:26" ht="12.75" customHeight="1" x14ac:dyDescent="0.25">
      <c r="A9" s="37">
        <f t="shared" si="1"/>
        <v>4</v>
      </c>
      <c r="B9" s="37">
        <f t="shared" si="2"/>
        <v>2021</v>
      </c>
      <c r="C9" s="37" t="str">
        <f t="shared" si="3"/>
        <v>Income: 1</v>
      </c>
      <c r="D9" s="28">
        <v>44312</v>
      </c>
      <c r="E9" s="29" t="s">
        <v>79</v>
      </c>
      <c r="F9" s="36">
        <v>1000</v>
      </c>
      <c r="G9" s="36"/>
      <c r="H9" s="38">
        <f t="shared" si="4"/>
        <v>1250</v>
      </c>
      <c r="I9" s="120"/>
      <c r="J9" s="120"/>
      <c r="K9" s="146"/>
      <c r="L9" s="120"/>
      <c r="M9" s="146"/>
    </row>
    <row r="10" spans="1:26" ht="12.75" customHeight="1" x14ac:dyDescent="0.25">
      <c r="A10" s="37">
        <f t="shared" si="1"/>
        <v>5</v>
      </c>
      <c r="B10" s="37">
        <f t="shared" si="2"/>
        <v>2021</v>
      </c>
      <c r="C10" s="37" t="str">
        <f t="shared" si="3"/>
        <v>Rent: 1</v>
      </c>
      <c r="D10" s="40" t="str">
        <f>MONTH(D9)+1 &amp; "/1/" &amp; YEAR(D9)</f>
        <v>5/1/2021</v>
      </c>
      <c r="E10" s="39" t="str">
        <f>"Rent: "&amp;LOOKUP(A10-1, Months, TextMonths)&amp;" '"&amp;B10</f>
        <v>Rent: May '2021</v>
      </c>
      <c r="F10" s="36"/>
      <c r="G10" s="36">
        <v>1850</v>
      </c>
      <c r="H10" s="38">
        <f t="shared" si="4"/>
        <v>3100</v>
      </c>
      <c r="I10" s="157"/>
      <c r="J10" s="120"/>
      <c r="K10" s="146"/>
      <c r="L10" s="120"/>
      <c r="M10" s="120"/>
    </row>
    <row r="11" spans="1:26" ht="12.75" customHeight="1" x14ac:dyDescent="0.25">
      <c r="A11" s="37">
        <f t="shared" si="1"/>
        <v>4</v>
      </c>
      <c r="B11" s="37">
        <f t="shared" si="2"/>
        <v>2021</v>
      </c>
      <c r="C11" s="37" t="str">
        <f t="shared" si="3"/>
        <v>Income: 1</v>
      </c>
      <c r="D11" s="28">
        <v>44315</v>
      </c>
      <c r="E11" s="29" t="s">
        <v>67</v>
      </c>
      <c r="F11" s="36">
        <v>1500</v>
      </c>
      <c r="G11" s="36"/>
      <c r="H11" s="38">
        <f t="shared" si="4"/>
        <v>1600</v>
      </c>
      <c r="I11" s="120"/>
      <c r="J11" s="120"/>
      <c r="K11" s="146"/>
      <c r="L11" s="120"/>
      <c r="M11" s="146"/>
    </row>
    <row r="12" spans="1:26" ht="12.75" customHeight="1" x14ac:dyDescent="0.25">
      <c r="A12" s="37">
        <f t="shared" si="1"/>
        <v>4</v>
      </c>
      <c r="B12" s="37">
        <f t="shared" si="2"/>
        <v>2021</v>
      </c>
      <c r="C12" s="37" t="str">
        <f t="shared" si="3"/>
        <v>Income: 1</v>
      </c>
      <c r="D12" s="28">
        <v>44316</v>
      </c>
      <c r="E12" s="29" t="s">
        <v>67</v>
      </c>
      <c r="F12" s="36">
        <v>1600</v>
      </c>
      <c r="G12" s="36"/>
      <c r="H12" s="38">
        <f t="shared" si="4"/>
        <v>0</v>
      </c>
      <c r="I12" s="120"/>
      <c r="J12" s="120"/>
      <c r="K12" s="146"/>
      <c r="L12" s="120"/>
      <c r="M12" s="146"/>
    </row>
    <row r="13" spans="1:26" ht="12.75" customHeight="1" x14ac:dyDescent="0.35">
      <c r="A13" s="37">
        <f t="shared" si="1"/>
        <v>5</v>
      </c>
      <c r="B13" s="37">
        <f t="shared" si="2"/>
        <v>2021</v>
      </c>
      <c r="C13" s="37" t="str">
        <f t="shared" si="3"/>
        <v/>
      </c>
      <c r="D13" s="28">
        <v>44319</v>
      </c>
      <c r="E13" s="70" t="s">
        <v>101</v>
      </c>
      <c r="F13" s="36"/>
      <c r="G13" s="36">
        <v>300</v>
      </c>
      <c r="H13" s="38">
        <f t="shared" si="4"/>
        <v>300</v>
      </c>
      <c r="I13" s="120"/>
      <c r="J13" s="120"/>
      <c r="K13" s="146"/>
      <c r="L13" s="120"/>
      <c r="M13" s="146"/>
      <c r="N13" s="36"/>
    </row>
    <row r="14" spans="1:26" ht="12.75" customHeight="1" x14ac:dyDescent="0.25">
      <c r="A14" s="37">
        <f t="shared" si="1"/>
        <v>5</v>
      </c>
      <c r="B14" s="37">
        <f t="shared" si="2"/>
        <v>2021</v>
      </c>
      <c r="C14" s="37" t="str">
        <f t="shared" si="3"/>
        <v>Income: 1</v>
      </c>
      <c r="D14" s="28">
        <v>44321</v>
      </c>
      <c r="E14" s="29" t="s">
        <v>67</v>
      </c>
      <c r="F14" s="36">
        <v>300</v>
      </c>
      <c r="G14" s="36"/>
      <c r="H14" s="38">
        <f t="shared" si="4"/>
        <v>0</v>
      </c>
      <c r="I14" s="120"/>
      <c r="J14" s="120"/>
      <c r="K14" s="120"/>
      <c r="L14" s="102"/>
      <c r="M14" s="120"/>
    </row>
    <row r="15" spans="1:26" ht="12.75" customHeight="1" x14ac:dyDescent="0.25">
      <c r="A15" s="37">
        <f t="shared" si="1"/>
        <v>6</v>
      </c>
      <c r="B15" s="37">
        <f t="shared" si="2"/>
        <v>2021</v>
      </c>
      <c r="C15" s="37" t="str">
        <f t="shared" si="3"/>
        <v>Rent: 1</v>
      </c>
      <c r="D15" s="40" t="str">
        <f>MONTH(D14)+1 &amp; "/1/" &amp; YEAR(D14)</f>
        <v>6/1/2021</v>
      </c>
      <c r="E15" s="39" t="str">
        <f>"Rent: "&amp;LOOKUP(A15-1, Months, TextMonths)&amp;" '"&amp;B15</f>
        <v>Rent: Jun '2021</v>
      </c>
      <c r="F15" s="36"/>
      <c r="G15" s="36">
        <v>1850</v>
      </c>
      <c r="H15" s="38">
        <f t="shared" si="4"/>
        <v>1850</v>
      </c>
      <c r="I15" s="120"/>
      <c r="J15" s="120"/>
      <c r="K15" s="120"/>
      <c r="L15" s="120"/>
      <c r="M15" s="120"/>
    </row>
    <row r="16" spans="1:26" ht="12.75" customHeight="1" x14ac:dyDescent="0.25">
      <c r="A16" s="37">
        <f t="shared" si="1"/>
        <v>5</v>
      </c>
      <c r="B16" s="37">
        <f t="shared" si="2"/>
        <v>2021</v>
      </c>
      <c r="C16" s="37" t="str">
        <f t="shared" si="3"/>
        <v>Income: 1</v>
      </c>
      <c r="D16" s="28">
        <v>44344</v>
      </c>
      <c r="E16" s="29" t="s">
        <v>68</v>
      </c>
      <c r="F16" s="36">
        <v>1850</v>
      </c>
      <c r="G16" s="36"/>
      <c r="H16" s="38">
        <f t="shared" si="4"/>
        <v>0</v>
      </c>
      <c r="I16" s="157"/>
      <c r="J16" s="120"/>
      <c r="K16" s="120"/>
      <c r="L16" s="120"/>
      <c r="M16" s="120"/>
      <c r="N16" s="30"/>
    </row>
    <row r="17" spans="1:17" ht="12.75" customHeight="1" x14ac:dyDescent="0.25">
      <c r="A17" s="37">
        <f t="shared" si="1"/>
        <v>7</v>
      </c>
      <c r="B17" s="37">
        <f t="shared" si="2"/>
        <v>2021</v>
      </c>
      <c r="C17" s="37" t="str">
        <f t="shared" si="3"/>
        <v>Rent: 1</v>
      </c>
      <c r="D17" s="40" t="str">
        <f>MONTH(D16)+2 &amp; "/1/" &amp; YEAR(D16)</f>
        <v>7/1/2021</v>
      </c>
      <c r="E17" s="39" t="str">
        <f>"Rent: "&amp;LOOKUP(A17-1, Months, TextMonths)&amp;" '"&amp;B17</f>
        <v>Rent: Jul '2021</v>
      </c>
      <c r="F17" s="36"/>
      <c r="G17" s="36">
        <v>1850</v>
      </c>
      <c r="H17" s="38">
        <f t="shared" si="4"/>
        <v>1850</v>
      </c>
      <c r="I17" s="120"/>
      <c r="J17" s="120"/>
      <c r="K17" s="120"/>
      <c r="L17" s="120"/>
      <c r="M17" s="120"/>
      <c r="N17" s="30"/>
      <c r="O17" s="30"/>
      <c r="P17" s="30"/>
    </row>
    <row r="18" spans="1:17" ht="12.75" customHeight="1" x14ac:dyDescent="0.25">
      <c r="A18" s="37">
        <f t="shared" si="1"/>
        <v>6</v>
      </c>
      <c r="B18" s="37">
        <f t="shared" si="2"/>
        <v>2021</v>
      </c>
      <c r="C18" s="37" t="str">
        <f t="shared" si="3"/>
        <v>Income: 1</v>
      </c>
      <c r="D18" s="28">
        <v>44372</v>
      </c>
      <c r="E18" s="29" t="s">
        <v>68</v>
      </c>
      <c r="F18" s="36">
        <v>1850</v>
      </c>
      <c r="G18" s="36"/>
      <c r="H18" s="38">
        <f t="shared" si="4"/>
        <v>0</v>
      </c>
      <c r="I18" s="120"/>
      <c r="J18" s="120"/>
      <c r="K18" s="120"/>
      <c r="L18" s="120"/>
      <c r="M18" s="146"/>
      <c r="N18" s="28"/>
      <c r="O18" s="28"/>
      <c r="P18" s="97"/>
      <c r="Q18" s="30"/>
    </row>
    <row r="19" spans="1:17" ht="12.75" customHeight="1" x14ac:dyDescent="0.25">
      <c r="A19" s="37">
        <f t="shared" si="1"/>
        <v>8</v>
      </c>
      <c r="B19" s="37">
        <f t="shared" si="2"/>
        <v>2021</v>
      </c>
      <c r="C19" s="37" t="str">
        <f t="shared" si="3"/>
        <v>Rent: 1</v>
      </c>
      <c r="D19" s="40" t="str">
        <f>MONTH(D18)+2 &amp; "/1/" &amp; YEAR(D18)</f>
        <v>8/1/2021</v>
      </c>
      <c r="E19" s="39" t="str">
        <f>"Rent: "&amp;LOOKUP(A19-1, Months, TextMonths)&amp;" '"&amp;B19</f>
        <v>Rent: Aug '2021</v>
      </c>
      <c r="F19" s="36"/>
      <c r="G19" s="36">
        <v>1850</v>
      </c>
      <c r="H19" s="38">
        <f t="shared" si="4"/>
        <v>1850</v>
      </c>
      <c r="I19" s="157"/>
      <c r="J19" s="120"/>
      <c r="K19" s="120"/>
      <c r="L19" s="120"/>
      <c r="M19" s="157"/>
      <c r="N19" s="28"/>
      <c r="O19" s="30"/>
      <c r="P19" s="15"/>
      <c r="Q19" s="98"/>
    </row>
    <row r="20" spans="1:17" ht="12.75" customHeight="1" x14ac:dyDescent="0.25">
      <c r="A20" s="37">
        <f t="shared" si="1"/>
        <v>7</v>
      </c>
      <c r="B20" s="37">
        <f t="shared" si="2"/>
        <v>2021</v>
      </c>
      <c r="C20" s="37" t="str">
        <f t="shared" si="3"/>
        <v>Income: 1</v>
      </c>
      <c r="D20" s="28">
        <v>44407</v>
      </c>
      <c r="E20" s="29" t="s">
        <v>68</v>
      </c>
      <c r="F20" s="36">
        <v>1850</v>
      </c>
      <c r="G20" s="36"/>
      <c r="H20" s="38">
        <f t="shared" si="4"/>
        <v>0</v>
      </c>
      <c r="I20" s="120"/>
      <c r="J20" s="120"/>
      <c r="K20" s="120"/>
      <c r="L20" s="120"/>
      <c r="M20" s="157"/>
      <c r="N20" s="28"/>
      <c r="O20" s="28"/>
      <c r="P20" s="30"/>
    </row>
    <row r="21" spans="1:17" ht="12.75" customHeight="1" x14ac:dyDescent="0.25">
      <c r="A21" s="37">
        <f t="shared" si="1"/>
        <v>9</v>
      </c>
      <c r="B21" s="37">
        <f t="shared" si="2"/>
        <v>2021</v>
      </c>
      <c r="C21" s="37" t="str">
        <f t="shared" si="3"/>
        <v>Rent: 1</v>
      </c>
      <c r="D21" s="40" t="str">
        <f>MONTH(D20)+2 &amp; "/1/" &amp; YEAR(D20)</f>
        <v>9/1/2021</v>
      </c>
      <c r="E21" s="39" t="str">
        <f>"Rent: "&amp;LOOKUP(A21-1, Months, TextMonths)&amp;" '"&amp;B21</f>
        <v>Rent: Sep '2021</v>
      </c>
      <c r="F21" s="36"/>
      <c r="G21" s="36">
        <v>1850</v>
      </c>
      <c r="H21" s="38">
        <f t="shared" si="4"/>
        <v>1850</v>
      </c>
      <c r="I21" s="120"/>
      <c r="J21" s="120"/>
      <c r="K21" s="120"/>
      <c r="L21" s="120"/>
      <c r="M21" s="157"/>
      <c r="N21" s="28"/>
      <c r="O21" s="30"/>
      <c r="P21" s="30"/>
      <c r="Q21" s="30"/>
    </row>
    <row r="22" spans="1:17" ht="12.75" customHeight="1" x14ac:dyDescent="0.25">
      <c r="A22" s="37">
        <f t="shared" si="1"/>
        <v>9</v>
      </c>
      <c r="B22" s="37">
        <f t="shared" si="2"/>
        <v>2021</v>
      </c>
      <c r="C22" s="37" t="str">
        <f t="shared" si="3"/>
        <v>Income: 1</v>
      </c>
      <c r="D22" s="28">
        <v>44440</v>
      </c>
      <c r="E22" s="29" t="s">
        <v>68</v>
      </c>
      <c r="F22" s="36">
        <v>1850</v>
      </c>
      <c r="G22" s="36"/>
      <c r="H22" s="38">
        <f t="shared" si="4"/>
        <v>0</v>
      </c>
      <c r="I22" s="120"/>
      <c r="J22" s="120"/>
      <c r="K22" s="120"/>
      <c r="L22" s="120"/>
      <c r="M22" s="157"/>
      <c r="N22" s="28"/>
      <c r="O22" s="28"/>
      <c r="P22" s="30"/>
    </row>
    <row r="23" spans="1:17" ht="12.75" customHeight="1" x14ac:dyDescent="0.25">
      <c r="A23" s="37">
        <f t="shared" si="1"/>
        <v>10</v>
      </c>
      <c r="B23" s="37">
        <f t="shared" si="2"/>
        <v>2021</v>
      </c>
      <c r="C23" s="37" t="str">
        <f t="shared" si="3"/>
        <v>Rent: 1</v>
      </c>
      <c r="D23" s="40" t="str">
        <f>MONTH(D22)+1 &amp; "/1/" &amp; YEAR(D22)</f>
        <v>10/1/2021</v>
      </c>
      <c r="E23" s="39" t="str">
        <f>"Rent: "&amp;LOOKUP(A23-1, Months, TextMonths)&amp;" '"&amp;B23</f>
        <v>Rent: Oct '2021</v>
      </c>
      <c r="F23" s="36"/>
      <c r="G23" s="36">
        <v>1850</v>
      </c>
      <c r="H23" s="38">
        <f t="shared" si="4"/>
        <v>1850</v>
      </c>
      <c r="I23" s="120"/>
      <c r="J23" s="120"/>
      <c r="K23" s="120"/>
      <c r="L23" s="120"/>
      <c r="M23" s="157"/>
      <c r="N23" s="28"/>
      <c r="O23" s="30"/>
      <c r="P23" s="30"/>
    </row>
    <row r="24" spans="1:17" ht="12.75" customHeight="1" x14ac:dyDescent="0.25">
      <c r="A24" s="37">
        <f t="shared" si="1"/>
        <v>10</v>
      </c>
      <c r="B24" s="37">
        <f t="shared" si="2"/>
        <v>2021</v>
      </c>
      <c r="C24" s="37" t="str">
        <f t="shared" si="3"/>
        <v>Income: 1</v>
      </c>
      <c r="D24" s="28">
        <v>44470</v>
      </c>
      <c r="E24" s="29" t="s">
        <v>68</v>
      </c>
      <c r="F24" s="36">
        <v>1850</v>
      </c>
      <c r="G24" s="36"/>
      <c r="H24" s="38">
        <f t="shared" si="4"/>
        <v>0</v>
      </c>
      <c r="I24" s="120"/>
      <c r="J24" s="120"/>
      <c r="K24" s="120"/>
      <c r="L24" s="120"/>
      <c r="M24" s="157"/>
      <c r="N24" s="28"/>
      <c r="O24" s="28"/>
      <c r="P24" s="30"/>
    </row>
    <row r="25" spans="1:17" ht="12.75" customHeight="1" x14ac:dyDescent="0.25">
      <c r="A25" s="37">
        <f t="shared" si="1"/>
        <v>11</v>
      </c>
      <c r="B25" s="37">
        <f t="shared" si="2"/>
        <v>2021</v>
      </c>
      <c r="C25" s="37" t="str">
        <f t="shared" si="3"/>
        <v>Rent: 1</v>
      </c>
      <c r="D25" s="40" t="str">
        <f>MONTH(D24)+1 &amp; "/1/" &amp; YEAR(D24)</f>
        <v>11/1/2021</v>
      </c>
      <c r="E25" s="39" t="str">
        <f>"Rent: "&amp;LOOKUP(A25-1, Months, TextMonths)&amp;" '"&amp;B25</f>
        <v>Rent: Nov '2021</v>
      </c>
      <c r="F25" s="36"/>
      <c r="G25" s="36">
        <v>1850</v>
      </c>
      <c r="H25" s="38">
        <f t="shared" si="4"/>
        <v>1850</v>
      </c>
      <c r="I25" s="120"/>
      <c r="J25" s="120"/>
      <c r="K25" s="120"/>
      <c r="L25" s="120"/>
      <c r="M25" s="157"/>
      <c r="N25" s="28"/>
      <c r="O25" s="30"/>
      <c r="P25" s="30"/>
    </row>
    <row r="26" spans="1:17" ht="12.75" customHeight="1" x14ac:dyDescent="0.25">
      <c r="A26" s="37">
        <f t="shared" si="1"/>
        <v>11</v>
      </c>
      <c r="B26" s="37">
        <f t="shared" si="2"/>
        <v>2021</v>
      </c>
      <c r="C26" s="37" t="str">
        <f t="shared" si="3"/>
        <v>Income: 1</v>
      </c>
      <c r="D26" s="28">
        <v>44501</v>
      </c>
      <c r="E26" s="29" t="s">
        <v>68</v>
      </c>
      <c r="F26" s="36">
        <v>1850</v>
      </c>
      <c r="G26" s="36"/>
      <c r="H26" s="38">
        <f t="shared" si="4"/>
        <v>0</v>
      </c>
      <c r="I26" s="120"/>
      <c r="J26" s="157"/>
      <c r="K26" s="120"/>
      <c r="L26" s="120"/>
      <c r="M26" s="157"/>
      <c r="N26" s="28"/>
      <c r="O26" s="30"/>
      <c r="P26" s="30"/>
    </row>
    <row r="27" spans="1:17" ht="12.75" customHeight="1" x14ac:dyDescent="0.25">
      <c r="A27" s="37">
        <f t="shared" si="1"/>
        <v>12</v>
      </c>
      <c r="B27" s="37">
        <f t="shared" si="2"/>
        <v>2021</v>
      </c>
      <c r="C27" s="37" t="str">
        <f t="shared" si="3"/>
        <v>Rent: 1</v>
      </c>
      <c r="D27" s="40" t="str">
        <f>MONTH(D26)+1 &amp; "/1/" &amp; YEAR(D26)</f>
        <v>12/1/2021</v>
      </c>
      <c r="E27" s="39" t="str">
        <f>"Rent: "&amp;LOOKUP(A27-1, Months, TextMonths)&amp;" '"&amp;B27</f>
        <v>Rent: Dec '2021</v>
      </c>
      <c r="F27" s="36"/>
      <c r="G27" s="36">
        <v>1850</v>
      </c>
      <c r="H27" s="38">
        <f t="shared" si="4"/>
        <v>1850</v>
      </c>
      <c r="I27" s="120"/>
      <c r="J27" s="157"/>
      <c r="K27" s="120"/>
      <c r="L27" s="120"/>
      <c r="M27" s="157"/>
      <c r="N27" s="28"/>
      <c r="O27" s="30"/>
      <c r="P27" s="30"/>
    </row>
    <row r="28" spans="1:17" ht="12.75" customHeight="1" x14ac:dyDescent="0.25">
      <c r="A28" s="37">
        <f t="shared" si="1"/>
        <v>12</v>
      </c>
      <c r="B28" s="37">
        <f t="shared" si="2"/>
        <v>2021</v>
      </c>
      <c r="C28" s="37" t="str">
        <f t="shared" si="3"/>
        <v>Income: 1</v>
      </c>
      <c r="D28" s="28">
        <v>44531</v>
      </c>
      <c r="E28" s="29" t="s">
        <v>68</v>
      </c>
      <c r="F28" s="36">
        <v>1850</v>
      </c>
      <c r="G28" s="36"/>
      <c r="H28" s="38">
        <f t="shared" si="4"/>
        <v>0</v>
      </c>
      <c r="I28" s="120"/>
      <c r="J28" s="120"/>
      <c r="K28" s="120"/>
      <c r="L28" s="120"/>
      <c r="M28" s="157"/>
      <c r="N28" s="28"/>
      <c r="O28" s="30"/>
      <c r="P28" s="30"/>
    </row>
    <row r="29" spans="1:17" ht="12.75" customHeight="1" x14ac:dyDescent="0.25">
      <c r="A29" s="37">
        <f t="shared" si="1"/>
        <v>1</v>
      </c>
      <c r="B29" s="37">
        <f t="shared" si="2"/>
        <v>2022</v>
      </c>
      <c r="C29" s="37" t="str">
        <f t="shared" si="3"/>
        <v>Rent: 1</v>
      </c>
      <c r="D29" s="40">
        <v>44562</v>
      </c>
      <c r="E29" s="39" t="str">
        <f>"Rent: "&amp;LOOKUP(A29-1, Months, TextMonths)&amp;" '"&amp;B29</f>
        <v>Rent: Jan '2022</v>
      </c>
      <c r="F29" s="36"/>
      <c r="G29" s="36">
        <v>1850</v>
      </c>
      <c r="H29" s="38">
        <f t="shared" si="4"/>
        <v>1850</v>
      </c>
      <c r="I29" s="120"/>
      <c r="J29" s="120"/>
      <c r="K29" s="120"/>
      <c r="L29" s="120"/>
      <c r="M29" s="157"/>
      <c r="N29" s="28"/>
      <c r="O29" s="30"/>
      <c r="P29" s="30"/>
      <c r="Q29" s="30"/>
    </row>
    <row r="30" spans="1:17" ht="12.75" customHeight="1" x14ac:dyDescent="0.25">
      <c r="A30" s="37">
        <f t="shared" si="1"/>
        <v>1</v>
      </c>
      <c r="B30" s="37">
        <f t="shared" si="2"/>
        <v>2022</v>
      </c>
      <c r="C30" s="37" t="str">
        <f t="shared" si="3"/>
        <v>Income: 1</v>
      </c>
      <c r="D30" s="28">
        <v>44564</v>
      </c>
      <c r="E30" s="29" t="s">
        <v>68</v>
      </c>
      <c r="F30" s="36">
        <v>1850</v>
      </c>
      <c r="G30" s="36"/>
      <c r="H30" s="38">
        <f t="shared" si="4"/>
        <v>0</v>
      </c>
      <c r="I30" s="120"/>
      <c r="J30" s="120"/>
      <c r="K30" s="120"/>
      <c r="L30" s="120"/>
      <c r="M30" s="157"/>
      <c r="N30" s="28"/>
      <c r="O30" s="30"/>
      <c r="P30" s="30"/>
    </row>
    <row r="31" spans="1:17" ht="12.75" customHeight="1" x14ac:dyDescent="0.25">
      <c r="A31" s="37">
        <f t="shared" si="1"/>
        <v>2</v>
      </c>
      <c r="B31" s="37">
        <f t="shared" si="2"/>
        <v>2022</v>
      </c>
      <c r="C31" s="37" t="str">
        <f t="shared" si="3"/>
        <v>Rent: 1</v>
      </c>
      <c r="D31" s="40" t="str">
        <f>MONTH(D30)+1 &amp; "/1/" &amp; YEAR(D30)</f>
        <v>2/1/2022</v>
      </c>
      <c r="E31" s="39" t="str">
        <f>"Rent: "&amp;LOOKUP(A31-1, Months, TextMonths)&amp;" '"&amp;B31</f>
        <v>Rent: Feb '2022</v>
      </c>
      <c r="F31" s="36"/>
      <c r="G31" s="36">
        <v>1850</v>
      </c>
      <c r="H31" s="38">
        <f t="shared" si="4"/>
        <v>1850</v>
      </c>
      <c r="I31" s="120"/>
      <c r="J31" s="120"/>
      <c r="K31" s="120"/>
      <c r="L31" s="120"/>
      <c r="M31" s="157"/>
      <c r="N31" s="28"/>
      <c r="O31" s="30"/>
      <c r="P31" s="30"/>
      <c r="Q31" s="30"/>
    </row>
    <row r="32" spans="1:17" ht="12.75" customHeight="1" x14ac:dyDescent="0.25">
      <c r="A32" s="37">
        <f t="shared" si="1"/>
        <v>2</v>
      </c>
      <c r="B32" s="37">
        <f t="shared" si="2"/>
        <v>2022</v>
      </c>
      <c r="C32" s="37" t="str">
        <f t="shared" si="3"/>
        <v>Income: 1</v>
      </c>
      <c r="D32" s="28">
        <v>44593</v>
      </c>
      <c r="E32" s="29" t="s">
        <v>68</v>
      </c>
      <c r="F32" s="36">
        <v>1850</v>
      </c>
      <c r="G32" s="36"/>
      <c r="H32" s="38">
        <f t="shared" si="4"/>
        <v>0</v>
      </c>
      <c r="I32" s="102"/>
      <c r="J32" s="157"/>
      <c r="K32" s="120"/>
      <c r="L32" s="120"/>
      <c r="M32" s="157"/>
      <c r="N32" s="28"/>
      <c r="O32" s="30"/>
      <c r="P32" s="30"/>
    </row>
    <row r="33" spans="1:18" ht="12.75" customHeight="1" x14ac:dyDescent="0.3">
      <c r="A33" s="37">
        <f t="shared" si="1"/>
        <v>3</v>
      </c>
      <c r="B33" s="37">
        <f t="shared" si="2"/>
        <v>2022</v>
      </c>
      <c r="C33" s="37" t="str">
        <f t="shared" si="3"/>
        <v>Rent: 1</v>
      </c>
      <c r="D33" s="40" t="str">
        <f>MONTH(D32)+1 &amp; "/1/" &amp; YEAR(D32)</f>
        <v>3/1/2022</v>
      </c>
      <c r="E33" s="39" t="str">
        <f>"Rent: "&amp;LOOKUP(A33-1, Months, TextMonths)&amp;" '"&amp;B33</f>
        <v>Rent: Mar '2022</v>
      </c>
      <c r="F33" s="36"/>
      <c r="G33" s="36">
        <v>1850</v>
      </c>
      <c r="H33" s="38">
        <f t="shared" si="4"/>
        <v>1850</v>
      </c>
      <c r="I33" s="162"/>
      <c r="J33" s="146"/>
      <c r="K33" s="102"/>
      <c r="L33" s="120"/>
      <c r="M33" s="157"/>
      <c r="N33" s="28"/>
      <c r="O33" s="30"/>
      <c r="P33" s="30"/>
      <c r="Q33" s="30"/>
      <c r="R33" s="30"/>
    </row>
    <row r="34" spans="1:18" ht="12.75" customHeight="1" x14ac:dyDescent="0.25">
      <c r="A34" s="37">
        <f t="shared" si="1"/>
        <v>3</v>
      </c>
      <c r="B34" s="37">
        <f t="shared" si="2"/>
        <v>2022</v>
      </c>
      <c r="C34" s="37" t="str">
        <f t="shared" si="3"/>
        <v>Income: 1</v>
      </c>
      <c r="D34" s="28">
        <v>44622</v>
      </c>
      <c r="E34" s="29" t="s">
        <v>68</v>
      </c>
      <c r="F34" s="36">
        <v>1850</v>
      </c>
      <c r="G34" s="36"/>
      <c r="H34" s="38">
        <f t="shared" si="4"/>
        <v>0</v>
      </c>
      <c r="I34" s="120"/>
      <c r="J34" s="120"/>
      <c r="K34" s="120"/>
      <c r="L34" s="120"/>
      <c r="M34" s="157"/>
      <c r="O34" s="30"/>
      <c r="P34" s="30"/>
    </row>
    <row r="35" spans="1:18" ht="12.75" customHeight="1" x14ac:dyDescent="0.25">
      <c r="A35" s="37">
        <f t="shared" si="1"/>
        <v>4</v>
      </c>
      <c r="B35" s="37">
        <f t="shared" si="2"/>
        <v>2022</v>
      </c>
      <c r="C35" s="37" t="str">
        <f t="shared" si="3"/>
        <v>Rent: 1</v>
      </c>
      <c r="D35" s="40" t="str">
        <f>MONTH(D34)+1 &amp; "/1/" &amp; YEAR(D34)</f>
        <v>4/1/2022</v>
      </c>
      <c r="E35" s="39" t="str">
        <f>"Rent: "&amp;LOOKUP(A35-1, Months, TextMonths)&amp;" '"&amp;B35</f>
        <v>Rent: Apr '2022</v>
      </c>
      <c r="F35" s="36"/>
      <c r="G35" s="36">
        <v>1850</v>
      </c>
      <c r="H35" s="38">
        <f t="shared" si="4"/>
        <v>1850</v>
      </c>
      <c r="I35" s="102"/>
      <c r="J35" s="120"/>
      <c r="K35" s="120"/>
      <c r="L35" s="120"/>
      <c r="M35" s="157"/>
      <c r="O35" s="30"/>
      <c r="P35" s="30"/>
      <c r="Q35" s="30"/>
    </row>
    <row r="36" spans="1:18" ht="12.75" customHeight="1" x14ac:dyDescent="0.25">
      <c r="A36" s="37">
        <f t="shared" si="1"/>
        <v>4</v>
      </c>
      <c r="B36" s="37">
        <f t="shared" si="2"/>
        <v>2022</v>
      </c>
      <c r="C36" s="37" t="str">
        <f t="shared" si="3"/>
        <v>Income: 1</v>
      </c>
      <c r="D36" s="28">
        <v>44652</v>
      </c>
      <c r="E36" s="29" t="s">
        <v>68</v>
      </c>
      <c r="F36" s="36">
        <v>1850</v>
      </c>
      <c r="G36" s="36"/>
      <c r="H36" s="38">
        <f t="shared" si="4"/>
        <v>0</v>
      </c>
      <c r="I36" s="146"/>
      <c r="J36" s="146"/>
      <c r="K36" s="102"/>
      <c r="L36" s="120"/>
      <c r="M36" s="157"/>
      <c r="O36" s="30"/>
      <c r="P36" s="30"/>
    </row>
    <row r="37" spans="1:18" ht="12.75" customHeight="1" x14ac:dyDescent="0.25">
      <c r="A37" s="37">
        <f t="shared" si="1"/>
        <v>5</v>
      </c>
      <c r="B37" s="37">
        <f t="shared" si="2"/>
        <v>2022</v>
      </c>
      <c r="C37" s="37" t="str">
        <f t="shared" si="3"/>
        <v>Rent: 1</v>
      </c>
      <c r="D37" s="40" t="str">
        <f>MONTH(D36)+1 &amp; "/1/" &amp; YEAR(D36)</f>
        <v>5/1/2022</v>
      </c>
      <c r="E37" s="39" t="str">
        <f>"Rent: "&amp;LOOKUP(A37-1, Months, TextMonths)&amp;" '"&amp;B37</f>
        <v>Rent: May '2022</v>
      </c>
      <c r="F37" s="36"/>
      <c r="G37" s="36">
        <v>1925</v>
      </c>
      <c r="H37" s="38">
        <f t="shared" si="4"/>
        <v>1925</v>
      </c>
      <c r="I37" s="102"/>
      <c r="J37" s="157"/>
      <c r="K37" s="157"/>
      <c r="L37" s="120"/>
      <c r="M37" s="157"/>
      <c r="O37" s="30"/>
      <c r="P37" s="30"/>
      <c r="Q37" s="30"/>
    </row>
    <row r="38" spans="1:18" ht="12.75" customHeight="1" x14ac:dyDescent="0.25">
      <c r="A38" s="37">
        <f t="shared" si="1"/>
        <v>5</v>
      </c>
      <c r="B38" s="37">
        <f t="shared" si="2"/>
        <v>2022</v>
      </c>
      <c r="C38" s="37" t="str">
        <f t="shared" si="3"/>
        <v>Income: 1</v>
      </c>
      <c r="D38" s="28">
        <v>44683</v>
      </c>
      <c r="E38" s="29" t="s">
        <v>68</v>
      </c>
      <c r="F38" s="36">
        <v>962</v>
      </c>
      <c r="G38" s="36"/>
      <c r="H38" s="38">
        <f t="shared" si="4"/>
        <v>963</v>
      </c>
      <c r="I38" s="146"/>
      <c r="J38" s="146"/>
      <c r="K38" s="146"/>
      <c r="L38" s="120"/>
      <c r="M38" s="157"/>
      <c r="O38" s="30"/>
      <c r="P38" s="30"/>
    </row>
    <row r="39" spans="1:18" ht="12.75" customHeight="1" x14ac:dyDescent="0.25">
      <c r="A39" s="37">
        <f t="shared" si="1"/>
        <v>5</v>
      </c>
      <c r="B39" s="37">
        <f t="shared" si="2"/>
        <v>2022</v>
      </c>
      <c r="C39" s="37" t="str">
        <f t="shared" si="3"/>
        <v>Income: 1</v>
      </c>
      <c r="D39" s="28">
        <v>44683</v>
      </c>
      <c r="E39" s="29" t="s">
        <v>68</v>
      </c>
      <c r="F39" s="36">
        <v>963</v>
      </c>
      <c r="G39" s="36"/>
      <c r="H39" s="38">
        <f t="shared" si="4"/>
        <v>0</v>
      </c>
      <c r="I39" s="120"/>
      <c r="J39" s="120"/>
      <c r="K39" s="120"/>
      <c r="L39" s="120"/>
      <c r="M39" s="157"/>
      <c r="O39" s="30"/>
      <c r="P39" s="30"/>
      <c r="Q39" s="30"/>
    </row>
    <row r="40" spans="1:18" ht="12.75" customHeight="1" x14ac:dyDescent="0.25">
      <c r="A40" s="37">
        <f t="shared" si="1"/>
        <v>6</v>
      </c>
      <c r="B40" s="37">
        <f t="shared" si="2"/>
        <v>2022</v>
      </c>
      <c r="C40" s="37" t="str">
        <f t="shared" si="3"/>
        <v>Rent: 1</v>
      </c>
      <c r="D40" s="40" t="str">
        <f>MONTH(D38)+1 &amp; "/1/" &amp; YEAR(D38)</f>
        <v>6/1/2022</v>
      </c>
      <c r="E40" s="39" t="str">
        <f>"Rent: "&amp;LOOKUP(A40-1, Months, TextMonths)&amp;" '"&amp;B40</f>
        <v>Rent: Jun '2022</v>
      </c>
      <c r="F40" s="36"/>
      <c r="G40" s="36">
        <v>1925</v>
      </c>
      <c r="H40" s="38">
        <f t="shared" si="4"/>
        <v>1925</v>
      </c>
      <c r="I40" s="120"/>
      <c r="J40" s="120"/>
      <c r="K40" s="120"/>
      <c r="L40" s="120"/>
      <c r="M40" s="157"/>
      <c r="O40" s="99"/>
      <c r="P40" s="30"/>
    </row>
    <row r="41" spans="1:18" ht="12.75" customHeight="1" x14ac:dyDescent="0.25">
      <c r="A41" s="37">
        <f t="shared" si="1"/>
        <v>6</v>
      </c>
      <c r="B41" s="37">
        <f t="shared" si="2"/>
        <v>2022</v>
      </c>
      <c r="C41" s="37" t="str">
        <f t="shared" si="3"/>
        <v>Income: 1</v>
      </c>
      <c r="D41" s="28">
        <v>44714</v>
      </c>
      <c r="E41" s="29" t="s">
        <v>68</v>
      </c>
      <c r="F41" s="36">
        <v>1925</v>
      </c>
      <c r="G41" s="36"/>
      <c r="H41" s="38">
        <f t="shared" si="4"/>
        <v>0</v>
      </c>
      <c r="I41" s="120"/>
      <c r="J41" s="120"/>
      <c r="K41" s="120"/>
      <c r="L41" s="120"/>
      <c r="M41" s="157"/>
      <c r="O41" s="99"/>
      <c r="P41" s="30"/>
      <c r="Q41" s="30"/>
    </row>
    <row r="42" spans="1:18" ht="12.75" customHeight="1" x14ac:dyDescent="0.25">
      <c r="A42" s="37">
        <f>MONTH(D42)</f>
        <v>7</v>
      </c>
      <c r="B42" s="37">
        <f>YEAR(D42)</f>
        <v>2022</v>
      </c>
      <c r="C42" s="37" t="str">
        <f>IFERROR("Late Fee "&amp;FIND("Late Fee",E42),IFERROR("Internet "&amp;FIND("Internet",E42),IFERROR("Utilities "&amp;FIND("Utilities",E42),IFERROR("Rent: "&amp;FIND("Rent",E42),IFERROR("Priv Tax: "&amp;FIND("Tax",E42),IFERROR("Income: "&amp;FIND("Payment",E42,1),""))))))</f>
        <v>Rent: 1</v>
      </c>
      <c r="D42" s="40" t="str">
        <f>MONTH(D41)+1 &amp; "/1/" &amp; YEAR(D39)</f>
        <v>7/1/2022</v>
      </c>
      <c r="E42" s="39" t="str">
        <f>"Rent: "&amp;LOOKUP(A42-1, Months, TextMonths)&amp;" '"&amp;B42</f>
        <v>Rent: Jul '2022</v>
      </c>
      <c r="F42" s="36"/>
      <c r="G42" s="36">
        <v>1925</v>
      </c>
      <c r="H42" s="38">
        <f t="shared" si="4"/>
        <v>1925</v>
      </c>
      <c r="I42" s="120"/>
      <c r="J42" s="120"/>
      <c r="K42" s="120"/>
      <c r="L42" s="120"/>
      <c r="M42" s="157"/>
      <c r="O42" s="30"/>
      <c r="P42" s="30"/>
    </row>
    <row r="43" spans="1:18" ht="12.75" customHeight="1" x14ac:dyDescent="0.25">
      <c r="A43" s="37">
        <f>MONTH(D43)</f>
        <v>7</v>
      </c>
      <c r="B43" s="37">
        <f>YEAR(D43)</f>
        <v>2022</v>
      </c>
      <c r="C43" s="37" t="str">
        <f>IFERROR("Late Fee "&amp;FIND("Late Fee",E43),IFERROR("Internet "&amp;FIND("Internet",E43),IFERROR("Utilities "&amp;FIND("Utilities",E43),IFERROR("Rent: "&amp;FIND("Rent",E43),IFERROR("Priv Tax: "&amp;FIND("Tax",E43),IFERROR("Income: "&amp;FIND("Payment",E43,1),""))))))</f>
        <v>Income: 1</v>
      </c>
      <c r="D43" s="28">
        <v>44747</v>
      </c>
      <c r="E43" s="29" t="s">
        <v>68</v>
      </c>
      <c r="F43" s="36">
        <v>1925</v>
      </c>
      <c r="G43" s="36"/>
      <c r="H43" s="38">
        <f t="shared" si="4"/>
        <v>0</v>
      </c>
      <c r="I43" s="120"/>
      <c r="J43" s="120"/>
      <c r="K43" s="120"/>
      <c r="L43" s="120"/>
      <c r="M43" s="157"/>
      <c r="O43" s="30"/>
      <c r="P43" s="30"/>
      <c r="Q43" s="30"/>
    </row>
    <row r="44" spans="1:18" ht="12.75" customHeight="1" x14ac:dyDescent="0.25">
      <c r="A44" s="37">
        <f>MONTH(D44)</f>
        <v>8</v>
      </c>
      <c r="B44" s="37">
        <f>YEAR(D44)</f>
        <v>2022</v>
      </c>
      <c r="C44" s="37" t="str">
        <f>IFERROR("Late Fee "&amp;FIND("Late Fee",E44),IFERROR("Internet "&amp;FIND("Internet",E44),IFERROR("Utilities "&amp;FIND("Utilities",E44),IFERROR("Rent: "&amp;FIND("Rent",E44),IFERROR("Priv Tax: "&amp;FIND("Tax",E44),IFERROR("Income: "&amp;FIND("Payment",E44,1),""))))))</f>
        <v>Rent: 1</v>
      </c>
      <c r="D44" s="40" t="str">
        <f>MONTH(D43)+1 &amp; "/1/" &amp; YEAR(D41)</f>
        <v>8/1/2022</v>
      </c>
      <c r="E44" s="39" t="str">
        <f>"Rent: "&amp;LOOKUP(A44-1, Months, TextMonths)&amp;" '"&amp;B44</f>
        <v>Rent: Aug '2022</v>
      </c>
      <c r="F44" s="36"/>
      <c r="G44" s="36">
        <v>1925</v>
      </c>
      <c r="H44" s="38">
        <f t="shared" si="4"/>
        <v>1925</v>
      </c>
      <c r="I44" s="120"/>
      <c r="J44" s="120"/>
      <c r="K44" s="120"/>
      <c r="L44" s="120"/>
      <c r="M44" s="157"/>
      <c r="O44" s="30"/>
      <c r="P44" s="30"/>
    </row>
    <row r="45" spans="1:18" ht="12.75" customHeight="1" x14ac:dyDescent="0.25">
      <c r="A45" s="37">
        <f>MONTH(D45)</f>
        <v>8</v>
      </c>
      <c r="B45" s="37">
        <f>YEAR(D45)</f>
        <v>2022</v>
      </c>
      <c r="C45" s="37" t="str">
        <f>IFERROR("Late Fee "&amp;FIND("Late Fee",E45),IFERROR("Internet "&amp;FIND("Internet",E45),IFERROR("Utilities "&amp;FIND("Utilities",E45),IFERROR("Rent: "&amp;FIND("Rent",E45),IFERROR("Priv Tax: "&amp;FIND("Tax",E45),IFERROR("Income: "&amp;FIND("Payment",E45,1),""))))))</f>
        <v>Income: 1</v>
      </c>
      <c r="D45" s="28">
        <v>44775</v>
      </c>
      <c r="E45" s="29" t="s">
        <v>68</v>
      </c>
      <c r="F45" s="36">
        <v>1925</v>
      </c>
      <c r="G45" s="36"/>
      <c r="H45" s="38">
        <f t="shared" si="4"/>
        <v>0</v>
      </c>
      <c r="I45" s="120"/>
      <c r="J45" s="120"/>
      <c r="K45" s="120"/>
      <c r="L45" s="120"/>
      <c r="M45" s="157"/>
      <c r="O45" s="30"/>
      <c r="P45" s="30"/>
      <c r="Q45" s="30"/>
    </row>
    <row r="46" spans="1:18" ht="12.75" customHeight="1" x14ac:dyDescent="0.25">
      <c r="A46" s="37">
        <f t="shared" ref="A46:A51" si="5">MONTH(D46)</f>
        <v>9</v>
      </c>
      <c r="B46" s="37">
        <f t="shared" ref="B46:B51" si="6">YEAR(D46)</f>
        <v>2022</v>
      </c>
      <c r="C46" s="37" t="str">
        <f t="shared" ref="C46:C51" si="7">IFERROR("Late Fee "&amp;FIND("Late Fee",E46),IFERROR("Internet "&amp;FIND("Internet",E46),IFERROR("Utilities "&amp;FIND("Utilities",E46),IFERROR("Rent: "&amp;FIND("Rent",E46),IFERROR("Priv Tax: "&amp;FIND("Tax",E46),IFERROR("Income: "&amp;FIND("Payment",E46,1),""))))))</f>
        <v>Rent: 1</v>
      </c>
      <c r="D46" s="40" t="str">
        <f>MONTH(D45)+1 &amp; "/1/" &amp; YEAR(D43)</f>
        <v>9/1/2022</v>
      </c>
      <c r="E46" s="39" t="str">
        <f>"Rent: "&amp;LOOKUP(A46-1, Months, TextMonths)&amp;" '"&amp;B46</f>
        <v>Rent: Sep '2022</v>
      </c>
      <c r="F46" s="36"/>
      <c r="G46" s="36">
        <v>1925</v>
      </c>
      <c r="H46" s="38">
        <f t="shared" ref="H46:H54" si="8">H45+G46-F46</f>
        <v>1925</v>
      </c>
      <c r="I46" s="120"/>
      <c r="J46" s="120"/>
      <c r="K46" s="120"/>
      <c r="L46" s="120"/>
      <c r="M46" s="157"/>
      <c r="O46" s="30"/>
      <c r="P46" s="30"/>
    </row>
    <row r="47" spans="1:18" ht="12.75" customHeight="1" x14ac:dyDescent="0.25">
      <c r="A47" s="37">
        <f t="shared" si="5"/>
        <v>9</v>
      </c>
      <c r="B47" s="37">
        <f t="shared" si="6"/>
        <v>2022</v>
      </c>
      <c r="C47" s="37" t="str">
        <f t="shared" si="7"/>
        <v>Income: 1</v>
      </c>
      <c r="D47" s="28">
        <v>44806</v>
      </c>
      <c r="E47" s="29" t="s">
        <v>68</v>
      </c>
      <c r="F47" s="36">
        <v>1950</v>
      </c>
      <c r="G47" s="36"/>
      <c r="H47" s="38">
        <f t="shared" si="8"/>
        <v>-25</v>
      </c>
      <c r="I47" s="120"/>
      <c r="J47" s="120"/>
      <c r="K47" s="120"/>
      <c r="L47" s="120"/>
      <c r="M47" s="157"/>
      <c r="O47" s="30"/>
      <c r="P47" s="30"/>
      <c r="Q47" s="30"/>
    </row>
    <row r="48" spans="1:18" ht="12.75" customHeight="1" x14ac:dyDescent="0.25">
      <c r="A48" s="37">
        <f>MONTH(D48)</f>
        <v>10</v>
      </c>
      <c r="B48" s="37">
        <f>YEAR(D48)</f>
        <v>2022</v>
      </c>
      <c r="C48" s="37" t="str">
        <f>IFERROR("Late Fee "&amp;FIND("Late Fee",E48),IFERROR("Internet "&amp;FIND("Internet",E48),IFERROR("Utilities "&amp;FIND("Utilities",E48),IFERROR("Rent: "&amp;FIND("Rent",E48),IFERROR("Priv Tax: "&amp;FIND("Tax",E48),IFERROR("Income: "&amp;FIND("Payment",E48,1),""))))))</f>
        <v>Rent: 1</v>
      </c>
      <c r="D48" s="40" t="str">
        <f>MONTH(D47)+1 &amp; "/1/" &amp; YEAR(D45)</f>
        <v>10/1/2022</v>
      </c>
      <c r="E48" s="39" t="str">
        <f>"Rent: "&amp;LOOKUP(A48-1, Months, TextMonths)&amp;" '"&amp;B48</f>
        <v>Rent: Oct '2022</v>
      </c>
      <c r="F48" s="36"/>
      <c r="G48" s="36">
        <v>1925</v>
      </c>
      <c r="H48" s="38">
        <f t="shared" si="8"/>
        <v>1900</v>
      </c>
      <c r="I48" s="120"/>
      <c r="J48" s="120"/>
      <c r="K48" s="120"/>
      <c r="L48" s="120"/>
      <c r="M48" s="157"/>
      <c r="O48" s="30"/>
      <c r="P48" s="30"/>
    </row>
    <row r="49" spans="1:17" ht="12.75" customHeight="1" x14ac:dyDescent="0.25">
      <c r="A49" s="100">
        <f t="shared" si="5"/>
        <v>8</v>
      </c>
      <c r="B49" s="100">
        <f t="shared" si="6"/>
        <v>2022</v>
      </c>
      <c r="C49" s="100" t="str">
        <f t="shared" si="7"/>
        <v/>
      </c>
      <c r="D49" s="140">
        <v>44788</v>
      </c>
      <c r="E49" s="119" t="s">
        <v>115</v>
      </c>
      <c r="F49" s="36"/>
      <c r="G49" s="36">
        <v>25</v>
      </c>
      <c r="H49" s="38">
        <f t="shared" si="8"/>
        <v>1925</v>
      </c>
      <c r="I49" s="120"/>
      <c r="J49" s="120"/>
      <c r="K49" s="120"/>
      <c r="L49" s="120"/>
      <c r="M49" s="157"/>
      <c r="O49" s="30"/>
      <c r="P49" s="30"/>
      <c r="Q49" s="30"/>
    </row>
    <row r="50" spans="1:17" ht="12.75" customHeight="1" x14ac:dyDescent="0.25">
      <c r="A50" s="100">
        <f t="shared" si="5"/>
        <v>9</v>
      </c>
      <c r="B50" s="100">
        <f t="shared" si="6"/>
        <v>2022</v>
      </c>
      <c r="C50" s="100" t="str">
        <f t="shared" si="7"/>
        <v/>
      </c>
      <c r="D50" s="140">
        <v>44813</v>
      </c>
      <c r="E50" s="119" t="s">
        <v>115</v>
      </c>
      <c r="F50" s="36"/>
      <c r="G50" s="36">
        <v>75</v>
      </c>
      <c r="H50" s="38">
        <f t="shared" si="8"/>
        <v>2000</v>
      </c>
      <c r="I50" s="120"/>
      <c r="J50" s="120"/>
      <c r="K50" s="120"/>
      <c r="L50" s="120"/>
      <c r="M50" s="157"/>
      <c r="O50" s="30"/>
      <c r="P50" s="30"/>
    </row>
    <row r="51" spans="1:17" ht="12.75" customHeight="1" x14ac:dyDescent="0.25">
      <c r="A51" s="100">
        <f t="shared" si="5"/>
        <v>9</v>
      </c>
      <c r="B51" s="100">
        <f t="shared" si="6"/>
        <v>2022</v>
      </c>
      <c r="C51" s="100" t="str">
        <f t="shared" si="7"/>
        <v/>
      </c>
      <c r="D51" s="140">
        <v>44813</v>
      </c>
      <c r="E51" s="119" t="s">
        <v>116</v>
      </c>
      <c r="F51" s="36"/>
      <c r="G51" s="36">
        <v>25</v>
      </c>
      <c r="H51" s="38">
        <f t="shared" si="8"/>
        <v>2025</v>
      </c>
      <c r="I51" s="157"/>
      <c r="J51" s="120"/>
      <c r="K51" s="120"/>
      <c r="L51" s="120"/>
      <c r="M51" s="157"/>
      <c r="O51" s="29"/>
      <c r="P51" s="30"/>
      <c r="Q51" s="30"/>
    </row>
    <row r="52" spans="1:17" ht="12.75" customHeight="1" x14ac:dyDescent="0.25">
      <c r="A52" s="100">
        <f t="shared" ref="A52:A59" si="9">MONTH(D52)</f>
        <v>10</v>
      </c>
      <c r="B52" s="100">
        <f t="shared" ref="B52:B59" si="10">YEAR(D52)</f>
        <v>2022</v>
      </c>
      <c r="C52" s="100" t="str">
        <f>IFERROR("Late Fee "&amp;FIND("Late Fee",E52),IFERROR("Internet "&amp;FIND("Internet",E52),IFERROR("Utilities "&amp;FIND("Utilities",E52),IFERROR("Rent: "&amp;FIND("Rent",E52),IFERROR("Priv Tax: "&amp;FIND("Tax",E52),IFERROR("Income: "&amp;FIND("Payment",E52,1),""))))))</f>
        <v/>
      </c>
      <c r="D52" s="140">
        <v>44838</v>
      </c>
      <c r="E52" s="119" t="s">
        <v>115</v>
      </c>
      <c r="F52" s="36"/>
      <c r="G52" s="36">
        <v>100</v>
      </c>
      <c r="H52" s="38">
        <f t="shared" si="8"/>
        <v>2125</v>
      </c>
      <c r="I52" s="120"/>
      <c r="J52" s="120"/>
      <c r="K52" s="120"/>
      <c r="L52" s="120"/>
      <c r="M52" s="157"/>
      <c r="O52" s="29"/>
      <c r="P52" s="30"/>
    </row>
    <row r="53" spans="1:17" ht="12.75" customHeight="1" x14ac:dyDescent="0.25">
      <c r="A53" s="100">
        <f t="shared" si="9"/>
        <v>10</v>
      </c>
      <c r="B53" s="100">
        <f t="shared" si="10"/>
        <v>2022</v>
      </c>
      <c r="C53" s="100" t="str">
        <f t="shared" ref="C53:C59" si="11">IFERROR("Late Fee "&amp;FIND("Late Fee",E53),IFERROR("Internet "&amp;FIND("Internet",E53),IFERROR("Utilities "&amp;FIND("Utilities",E53),IFERROR("Rent: "&amp;FIND("Rent",E53),IFERROR("Priv Tax: "&amp;FIND("Tax",E53),IFERROR("Income: "&amp;FIND("Payment",E53,1),""))))))</f>
        <v/>
      </c>
      <c r="D53" s="140">
        <v>44838</v>
      </c>
      <c r="E53" s="119" t="s">
        <v>116</v>
      </c>
      <c r="F53" s="36"/>
      <c r="G53" s="36">
        <v>25</v>
      </c>
      <c r="H53" s="38">
        <f t="shared" si="8"/>
        <v>2150</v>
      </c>
      <c r="I53" s="120"/>
      <c r="J53" s="120"/>
      <c r="K53" s="120"/>
      <c r="L53" s="120"/>
      <c r="M53" s="102"/>
      <c r="O53" s="29"/>
      <c r="P53" s="29"/>
      <c r="Q53" s="30"/>
    </row>
    <row r="54" spans="1:17" ht="12.75" customHeight="1" x14ac:dyDescent="0.25">
      <c r="A54" s="37">
        <f t="shared" si="9"/>
        <v>10</v>
      </c>
      <c r="B54" s="37">
        <f t="shared" si="10"/>
        <v>2022</v>
      </c>
      <c r="C54" s="37" t="str">
        <f t="shared" si="11"/>
        <v>Income: 1</v>
      </c>
      <c r="D54" s="28">
        <v>44837</v>
      </c>
      <c r="E54" s="29" t="s">
        <v>68</v>
      </c>
      <c r="F54" s="36">
        <v>2000</v>
      </c>
      <c r="G54" s="36"/>
      <c r="H54" s="38">
        <f t="shared" si="8"/>
        <v>150</v>
      </c>
      <c r="I54" s="120"/>
      <c r="J54" s="120"/>
      <c r="K54" s="120"/>
      <c r="L54" s="120"/>
      <c r="M54" s="163"/>
      <c r="O54" s="29"/>
      <c r="P54" s="29"/>
    </row>
    <row r="55" spans="1:17" ht="12.75" customHeight="1" x14ac:dyDescent="0.25">
      <c r="A55" s="37">
        <f t="shared" si="9"/>
        <v>11</v>
      </c>
      <c r="B55" s="37">
        <f t="shared" si="10"/>
        <v>2022</v>
      </c>
      <c r="C55" s="37" t="str">
        <f t="shared" si="11"/>
        <v>Rent: 1</v>
      </c>
      <c r="D55" s="40" t="str">
        <f>MONTH(D54)+1 &amp; "/1/" &amp; YEAR(D52)</f>
        <v>11/1/2022</v>
      </c>
      <c r="E55" s="39" t="str">
        <f>"Rent: "&amp;LOOKUP(A55-1, Months, TextMonths)&amp;" '"&amp;B55</f>
        <v>Rent: Nov '2022</v>
      </c>
      <c r="F55" s="36"/>
      <c r="G55" s="36">
        <v>1925</v>
      </c>
      <c r="H55" s="38">
        <f>H54+G55-F55</f>
        <v>2075</v>
      </c>
      <c r="I55" s="157"/>
      <c r="J55" s="120"/>
      <c r="K55" s="120"/>
      <c r="L55" s="120"/>
      <c r="M55" s="163"/>
      <c r="O55" s="29"/>
      <c r="P55" s="29"/>
      <c r="Q55" s="30"/>
    </row>
    <row r="56" spans="1:17" ht="12.75" customHeight="1" x14ac:dyDescent="0.25">
      <c r="A56" s="37">
        <f t="shared" si="9"/>
        <v>11</v>
      </c>
      <c r="B56" s="37">
        <f t="shared" si="10"/>
        <v>2022</v>
      </c>
      <c r="C56" s="37" t="str">
        <f t="shared" si="11"/>
        <v>Late Fee 1</v>
      </c>
      <c r="D56" s="86">
        <v>44884</v>
      </c>
      <c r="E56" s="29" t="s">
        <v>117</v>
      </c>
      <c r="F56" s="36"/>
      <c r="G56" s="36">
        <v>175</v>
      </c>
      <c r="H56" s="38">
        <f>H55+G56-F56</f>
        <v>2250</v>
      </c>
      <c r="I56" s="120"/>
      <c r="J56" s="120"/>
      <c r="K56" s="120"/>
      <c r="L56" s="120"/>
      <c r="M56" s="102"/>
      <c r="O56" s="29"/>
      <c r="P56" s="29"/>
    </row>
    <row r="57" spans="1:17" ht="12.75" customHeight="1" x14ac:dyDescent="0.25">
      <c r="A57" s="37">
        <f t="shared" si="9"/>
        <v>11</v>
      </c>
      <c r="B57" s="37">
        <f t="shared" si="10"/>
        <v>2022</v>
      </c>
      <c r="C57" s="37" t="str">
        <f t="shared" si="11"/>
        <v>Income: 1</v>
      </c>
      <c r="D57" s="28">
        <v>44886</v>
      </c>
      <c r="E57" s="29" t="s">
        <v>68</v>
      </c>
      <c r="F57" s="36">
        <v>2250</v>
      </c>
      <c r="G57" s="36"/>
      <c r="H57" s="38">
        <f>H56+G57-F57</f>
        <v>0</v>
      </c>
      <c r="I57" s="103"/>
      <c r="J57" s="120"/>
      <c r="K57" s="120"/>
      <c r="L57" s="120"/>
      <c r="M57" s="102"/>
      <c r="O57" s="29"/>
      <c r="P57" s="29"/>
      <c r="Q57" s="30"/>
    </row>
    <row r="58" spans="1:17" ht="12.75" customHeight="1" x14ac:dyDescent="0.25">
      <c r="A58" s="37">
        <f t="shared" si="9"/>
        <v>12</v>
      </c>
      <c r="B58" s="37">
        <f t="shared" si="10"/>
        <v>2022</v>
      </c>
      <c r="C58" s="37" t="str">
        <f t="shared" si="11"/>
        <v>Rent: 1</v>
      </c>
      <c r="D58" s="40" t="str">
        <f>MONTH(D57)+1 &amp; "/1/" &amp; YEAR(D55)</f>
        <v>12/1/2022</v>
      </c>
      <c r="E58" s="39" t="str">
        <f>"Rent: "&amp;LOOKUP(A58-1, Months, TextMonths)&amp;" '"&amp;B58</f>
        <v>Rent: Dec '2022</v>
      </c>
      <c r="F58" s="36"/>
      <c r="G58" s="36">
        <v>1925</v>
      </c>
      <c r="H58" s="38">
        <f>H57+G58-F58</f>
        <v>1925</v>
      </c>
      <c r="I58" s="120"/>
      <c r="J58" s="120"/>
      <c r="K58" s="120"/>
      <c r="L58" s="120"/>
      <c r="M58" s="102"/>
      <c r="O58" s="29"/>
      <c r="P58" s="29"/>
    </row>
    <row r="59" spans="1:17" ht="12.75" customHeight="1" x14ac:dyDescent="0.25">
      <c r="A59" s="37">
        <f t="shared" si="9"/>
        <v>12</v>
      </c>
      <c r="B59" s="37">
        <f t="shared" si="10"/>
        <v>2022</v>
      </c>
      <c r="C59" s="37" t="str">
        <f t="shared" si="11"/>
        <v>Income: 1</v>
      </c>
      <c r="D59" s="28">
        <v>44900</v>
      </c>
      <c r="E59" s="29" t="s">
        <v>68</v>
      </c>
      <c r="F59" s="36">
        <v>1925</v>
      </c>
      <c r="G59" s="36"/>
      <c r="H59" s="38">
        <f>H58+G59-F59</f>
        <v>0</v>
      </c>
      <c r="I59" s="120"/>
      <c r="J59" s="120"/>
      <c r="K59" s="120"/>
      <c r="L59" s="120"/>
      <c r="M59" s="102"/>
      <c r="O59" s="29"/>
      <c r="P59" s="29"/>
      <c r="Q59" s="30"/>
    </row>
    <row r="60" spans="1:17" ht="12.75" customHeight="1" x14ac:dyDescent="0.25">
      <c r="F60" s="36"/>
      <c r="G60" s="36"/>
      <c r="H60" s="36"/>
      <c r="I60" s="120"/>
      <c r="J60" s="120"/>
      <c r="K60" s="120"/>
      <c r="L60" s="120"/>
      <c r="M60" s="120"/>
    </row>
    <row r="61" spans="1:17" ht="12.75" customHeight="1" x14ac:dyDescent="0.25">
      <c r="F61" s="36"/>
      <c r="G61" s="36"/>
      <c r="H61" s="36"/>
      <c r="I61" s="102"/>
      <c r="J61" s="120"/>
      <c r="K61" s="120"/>
      <c r="L61" s="120"/>
      <c r="M61" s="120"/>
    </row>
    <row r="62" spans="1:17" ht="12.75" customHeight="1" x14ac:dyDescent="0.25">
      <c r="F62" s="36"/>
      <c r="G62" s="36"/>
      <c r="H62" s="36"/>
      <c r="I62" s="120"/>
      <c r="J62" s="120"/>
      <c r="K62" s="120"/>
      <c r="L62" s="120"/>
      <c r="M62" s="120"/>
    </row>
    <row r="63" spans="1:17" ht="12.75" customHeight="1" x14ac:dyDescent="0.25">
      <c r="F63" s="36"/>
      <c r="G63" s="36"/>
      <c r="H63" s="36"/>
      <c r="I63" s="120"/>
      <c r="J63" s="120"/>
      <c r="K63" s="120"/>
      <c r="L63" s="120"/>
      <c r="M63" s="120"/>
    </row>
    <row r="64" spans="1:17" ht="12.75" customHeight="1" x14ac:dyDescent="0.25">
      <c r="F64" s="36"/>
      <c r="G64" s="36"/>
      <c r="H64" s="36"/>
      <c r="I64" s="120"/>
      <c r="J64" s="120"/>
      <c r="K64" s="120"/>
      <c r="L64" s="120"/>
      <c r="M64" s="120"/>
    </row>
    <row r="65" spans="6:13" ht="12.75" customHeight="1" x14ac:dyDescent="0.25">
      <c r="F65" s="36"/>
      <c r="G65" s="36"/>
      <c r="H65" s="36"/>
      <c r="I65" s="120"/>
      <c r="J65" s="120"/>
      <c r="K65" s="120"/>
      <c r="L65" s="120"/>
      <c r="M65" s="120"/>
    </row>
    <row r="66" spans="6:13" ht="12.75" customHeight="1" x14ac:dyDescent="0.25">
      <c r="F66" s="36"/>
      <c r="G66" s="36"/>
      <c r="H66" s="36"/>
      <c r="I66" s="120"/>
      <c r="J66" s="120"/>
      <c r="K66" s="120"/>
      <c r="L66" s="120"/>
      <c r="M66" s="120"/>
    </row>
    <row r="67" spans="6:13" ht="12.75" customHeight="1" x14ac:dyDescent="0.25">
      <c r="F67" s="36"/>
      <c r="G67" s="36"/>
      <c r="H67" s="36"/>
      <c r="I67" s="120"/>
      <c r="J67" s="120"/>
      <c r="K67" s="120"/>
      <c r="L67" s="120"/>
      <c r="M67" s="120"/>
    </row>
    <row r="68" spans="6:13" ht="12.75" customHeight="1" x14ac:dyDescent="0.25">
      <c r="F68" s="36"/>
      <c r="G68" s="36"/>
      <c r="H68" s="36"/>
      <c r="I68" s="120"/>
      <c r="J68" s="120"/>
      <c r="K68" s="120"/>
      <c r="L68" s="120"/>
      <c r="M68" s="120"/>
    </row>
    <row r="69" spans="6:13" ht="12.75" customHeight="1" x14ac:dyDescent="0.25">
      <c r="F69" s="36"/>
      <c r="G69" s="36"/>
      <c r="H69" s="36"/>
      <c r="I69" s="102"/>
      <c r="J69" s="120"/>
      <c r="K69" s="120"/>
      <c r="L69" s="120"/>
      <c r="M69" s="120"/>
    </row>
    <row r="70" spans="6:13" ht="12.75" customHeight="1" x14ac:dyDescent="0.25">
      <c r="F70" s="36"/>
      <c r="G70" s="36"/>
      <c r="H70" s="36"/>
      <c r="I70" s="120"/>
      <c r="J70" s="120"/>
      <c r="K70" s="120"/>
      <c r="L70" s="120"/>
      <c r="M70" s="120"/>
    </row>
    <row r="71" spans="6:13" ht="12.75" customHeight="1" x14ac:dyDescent="0.25">
      <c r="F71" s="36"/>
      <c r="G71" s="36"/>
      <c r="H71" s="36"/>
      <c r="I71" s="120"/>
      <c r="J71" s="120"/>
      <c r="K71" s="120"/>
      <c r="L71" s="120"/>
      <c r="M71" s="120"/>
    </row>
    <row r="72" spans="6:13" ht="12.75" customHeight="1" x14ac:dyDescent="0.25">
      <c r="F72" s="36"/>
      <c r="G72" s="36"/>
      <c r="H72" s="36"/>
      <c r="I72" s="120"/>
      <c r="J72" s="120"/>
      <c r="K72" s="120"/>
      <c r="L72" s="120"/>
      <c r="M72" s="120"/>
    </row>
    <row r="73" spans="6:13" ht="12.75" customHeight="1" x14ac:dyDescent="0.25">
      <c r="F73" s="36"/>
      <c r="G73" s="36"/>
      <c r="H73" s="36"/>
      <c r="I73" s="120"/>
      <c r="J73" s="120"/>
      <c r="K73" s="120"/>
      <c r="L73" s="120"/>
      <c r="M73" s="120"/>
    </row>
    <row r="74" spans="6:13" ht="12.75" customHeight="1" x14ac:dyDescent="0.25">
      <c r="F74" s="36"/>
      <c r="G74" s="36"/>
      <c r="H74" s="36"/>
      <c r="I74" s="120"/>
      <c r="J74" s="120"/>
      <c r="K74" s="120"/>
      <c r="L74" s="120"/>
      <c r="M74" s="120"/>
    </row>
    <row r="75" spans="6:13" ht="12.75" customHeight="1" x14ac:dyDescent="0.25">
      <c r="F75" s="36"/>
      <c r="G75" s="36"/>
      <c r="H75" s="36"/>
      <c r="I75" s="120"/>
      <c r="J75" s="120"/>
      <c r="K75" s="120"/>
      <c r="L75" s="120"/>
      <c r="M75" s="120"/>
    </row>
    <row r="76" spans="6:13" ht="12.75" customHeight="1" x14ac:dyDescent="0.25">
      <c r="F76" s="36"/>
      <c r="G76" s="36"/>
      <c r="H76" s="36"/>
      <c r="I76" s="157"/>
      <c r="J76" s="120"/>
      <c r="K76" s="120"/>
      <c r="L76" s="120"/>
      <c r="M76" s="120"/>
    </row>
    <row r="77" spans="6:13" ht="12.75" customHeight="1" x14ac:dyDescent="0.25">
      <c r="F77" s="36"/>
      <c r="G77" s="36"/>
      <c r="H77" s="36"/>
      <c r="I77" s="157"/>
      <c r="J77" s="120"/>
      <c r="K77" s="120"/>
      <c r="L77" s="120"/>
      <c r="M77" s="120"/>
    </row>
    <row r="78" spans="6:13" ht="12.75" customHeight="1" x14ac:dyDescent="0.25">
      <c r="F78" s="36"/>
      <c r="G78" s="36"/>
      <c r="H78" s="36"/>
      <c r="I78" s="120"/>
      <c r="J78" s="120"/>
      <c r="K78" s="120"/>
      <c r="L78" s="120"/>
      <c r="M78" s="120"/>
    </row>
    <row r="79" spans="6:13" ht="12.75" customHeight="1" x14ac:dyDescent="0.25">
      <c r="F79" s="36"/>
      <c r="G79" s="36"/>
      <c r="H79" s="36"/>
      <c r="I79" s="120"/>
      <c r="J79" s="120"/>
      <c r="K79" s="120"/>
      <c r="L79" s="120"/>
      <c r="M79" s="120"/>
    </row>
    <row r="80" spans="6:13" ht="12.75" customHeight="1" x14ac:dyDescent="0.25">
      <c r="F80" s="36"/>
      <c r="G80" s="36"/>
      <c r="H80" s="36"/>
      <c r="I80" s="120"/>
      <c r="J80" s="120"/>
      <c r="K80" s="120"/>
      <c r="L80" s="120"/>
      <c r="M80" s="120"/>
    </row>
    <row r="81" spans="6:13" ht="12.75" customHeight="1" x14ac:dyDescent="0.25">
      <c r="F81" s="36"/>
      <c r="G81" s="36"/>
      <c r="H81" s="36"/>
      <c r="I81" s="120"/>
      <c r="J81" s="120"/>
      <c r="K81" s="120"/>
      <c r="L81" s="120"/>
      <c r="M81" s="120"/>
    </row>
    <row r="82" spans="6:13" ht="12.75" customHeight="1" x14ac:dyDescent="0.25">
      <c r="F82" s="36"/>
      <c r="G82" s="36"/>
      <c r="H82" s="36"/>
      <c r="I82" s="157"/>
      <c r="J82" s="120"/>
      <c r="K82" s="120"/>
      <c r="L82" s="120"/>
      <c r="M82" s="120"/>
    </row>
    <row r="83" spans="6:13" ht="12.75" customHeight="1" x14ac:dyDescent="0.25">
      <c r="F83" s="36"/>
      <c r="G83" s="36"/>
      <c r="H83" s="36"/>
      <c r="I83" s="120"/>
      <c r="J83" s="120"/>
      <c r="K83" s="120"/>
      <c r="L83" s="120"/>
      <c r="M83" s="120"/>
    </row>
    <row r="84" spans="6:13" ht="12.75" customHeight="1" x14ac:dyDescent="0.25">
      <c r="F84" s="36"/>
      <c r="G84" s="36"/>
      <c r="H84" s="36"/>
      <c r="I84" s="120"/>
      <c r="J84" s="120"/>
      <c r="K84" s="120"/>
      <c r="L84" s="120"/>
      <c r="M84" s="120"/>
    </row>
    <row r="85" spans="6:13" ht="12.75" customHeight="1" x14ac:dyDescent="0.25">
      <c r="F85" s="36"/>
      <c r="G85" s="36"/>
      <c r="H85" s="36"/>
      <c r="I85" s="120"/>
      <c r="J85" s="120"/>
      <c r="K85" s="120"/>
      <c r="L85" s="120"/>
      <c r="M85" s="120"/>
    </row>
    <row r="86" spans="6:13" ht="12.75" customHeight="1" x14ac:dyDescent="0.25">
      <c r="F86" s="36"/>
      <c r="G86" s="36"/>
      <c r="H86" s="36"/>
      <c r="I86" s="120"/>
      <c r="J86" s="120"/>
      <c r="K86" s="120"/>
      <c r="L86" s="120"/>
      <c r="M86" s="120"/>
    </row>
    <row r="87" spans="6:13" ht="12.75" customHeight="1" x14ac:dyDescent="0.25">
      <c r="F87" s="36"/>
      <c r="G87" s="36"/>
      <c r="H87" s="36"/>
      <c r="I87" s="157"/>
      <c r="J87" s="120"/>
      <c r="K87" s="120"/>
      <c r="L87" s="120"/>
      <c r="M87" s="120"/>
    </row>
    <row r="88" spans="6:13" ht="12.75" customHeight="1" x14ac:dyDescent="0.25">
      <c r="F88" s="36"/>
      <c r="G88" s="36"/>
      <c r="H88" s="36"/>
      <c r="I88" s="120"/>
      <c r="J88" s="120"/>
      <c r="K88" s="120"/>
      <c r="L88" s="120"/>
      <c r="M88" s="120"/>
    </row>
    <row r="89" spans="6:13" ht="12.75" customHeight="1" x14ac:dyDescent="0.25">
      <c r="F89" s="36"/>
      <c r="G89" s="36"/>
      <c r="H89" s="36"/>
      <c r="I89" s="157"/>
      <c r="J89" s="120"/>
      <c r="K89" s="120"/>
      <c r="L89" s="120"/>
      <c r="M89" s="120"/>
    </row>
    <row r="90" spans="6:13" ht="12.75" customHeight="1" x14ac:dyDescent="0.25">
      <c r="F90" s="36"/>
      <c r="G90" s="36"/>
      <c r="H90" s="36"/>
      <c r="I90" s="120"/>
      <c r="J90" s="120"/>
      <c r="K90" s="120"/>
      <c r="L90" s="120"/>
      <c r="M90" s="120"/>
    </row>
    <row r="91" spans="6:13" ht="12.75" customHeight="1" x14ac:dyDescent="0.25">
      <c r="F91" s="36"/>
      <c r="G91" s="36"/>
      <c r="H91" s="36"/>
      <c r="I91" s="120"/>
      <c r="J91" s="120"/>
      <c r="K91" s="120"/>
      <c r="L91" s="120"/>
      <c r="M91" s="120"/>
    </row>
    <row r="92" spans="6:13" ht="12.75" customHeight="1" x14ac:dyDescent="0.25">
      <c r="F92" s="36"/>
      <c r="G92" s="36"/>
      <c r="H92" s="36"/>
      <c r="I92" s="120"/>
      <c r="J92" s="120"/>
      <c r="K92" s="120"/>
      <c r="L92" s="120"/>
      <c r="M92" s="120"/>
    </row>
    <row r="93" spans="6:13" ht="12.75" customHeight="1" x14ac:dyDescent="0.25">
      <c r="F93" s="36"/>
      <c r="G93" s="36"/>
      <c r="H93" s="36"/>
      <c r="I93" s="120"/>
      <c r="J93" s="120"/>
      <c r="K93" s="120"/>
      <c r="L93" s="120"/>
      <c r="M93" s="120"/>
    </row>
    <row r="94" spans="6:13" ht="12.75" customHeight="1" x14ac:dyDescent="0.25">
      <c r="F94" s="36"/>
      <c r="G94" s="36"/>
      <c r="H94" s="36"/>
      <c r="I94" s="120"/>
      <c r="J94" s="120"/>
      <c r="K94" s="120"/>
      <c r="L94" s="120"/>
      <c r="M94" s="120"/>
    </row>
    <row r="95" spans="6:13" ht="12.75" customHeight="1" x14ac:dyDescent="0.25">
      <c r="F95" s="36"/>
      <c r="G95" s="36"/>
      <c r="H95" s="36"/>
      <c r="I95" s="120"/>
      <c r="J95" s="120"/>
      <c r="K95" s="120"/>
      <c r="L95" s="120"/>
      <c r="M95" s="120"/>
    </row>
    <row r="96" spans="6:13" ht="12.75" customHeight="1" x14ac:dyDescent="0.25">
      <c r="F96" s="36"/>
      <c r="G96" s="36"/>
      <c r="H96" s="36"/>
      <c r="I96" s="102"/>
      <c r="J96" s="120"/>
      <c r="K96" s="120"/>
      <c r="L96" s="120"/>
      <c r="M96" s="120"/>
    </row>
    <row r="97" spans="6:13" ht="12.75" customHeight="1" x14ac:dyDescent="0.25">
      <c r="F97" s="36"/>
      <c r="G97" s="36"/>
      <c r="H97" s="36"/>
      <c r="I97" s="157"/>
      <c r="J97" s="120"/>
      <c r="K97" s="120"/>
      <c r="L97" s="120"/>
      <c r="M97" s="120"/>
    </row>
    <row r="98" spans="6:13" ht="12.75" customHeight="1" x14ac:dyDescent="0.25">
      <c r="F98" s="36"/>
      <c r="G98" s="36"/>
      <c r="H98" s="36"/>
      <c r="I98" s="120"/>
      <c r="J98" s="120"/>
      <c r="K98" s="120"/>
      <c r="L98" s="120"/>
      <c r="M98" s="120"/>
    </row>
    <row r="99" spans="6:13" ht="12.75" customHeight="1" x14ac:dyDescent="0.25">
      <c r="F99" s="36"/>
      <c r="G99" s="36"/>
      <c r="H99" s="36"/>
      <c r="I99" s="102"/>
      <c r="J99" s="157"/>
      <c r="K99" s="120"/>
      <c r="L99" s="120"/>
      <c r="M99" s="120"/>
    </row>
    <row r="100" spans="6:13" ht="12.75" customHeight="1" x14ac:dyDescent="0.25">
      <c r="F100" s="36"/>
      <c r="G100" s="36"/>
      <c r="H100" s="36"/>
      <c r="I100" s="146"/>
      <c r="J100" s="146"/>
      <c r="K100" s="120"/>
      <c r="L100" s="120"/>
      <c r="M100" s="120"/>
    </row>
    <row r="101" spans="6:13" ht="12.75" customHeight="1" x14ac:dyDescent="0.25">
      <c r="F101" s="36"/>
      <c r="G101" s="36"/>
      <c r="H101" s="36"/>
      <c r="I101" s="120"/>
      <c r="J101" s="120"/>
      <c r="K101" s="120"/>
      <c r="L101" s="120"/>
      <c r="M101" s="120"/>
    </row>
    <row r="102" spans="6:13" ht="12.75" customHeight="1" x14ac:dyDescent="0.25">
      <c r="F102" s="36"/>
      <c r="G102" s="36"/>
      <c r="H102" s="36"/>
      <c r="I102" s="102"/>
      <c r="J102" s="120"/>
      <c r="K102" s="120"/>
      <c r="L102" s="120"/>
      <c r="M102" s="120"/>
    </row>
    <row r="103" spans="6:13" ht="12.75" customHeight="1" x14ac:dyDescent="0.25">
      <c r="F103" s="36"/>
      <c r="G103" s="36"/>
      <c r="H103" s="36"/>
      <c r="I103" s="120"/>
      <c r="J103" s="120"/>
      <c r="K103" s="120"/>
      <c r="L103" s="120"/>
      <c r="M103" s="120"/>
    </row>
    <row r="104" spans="6:13" ht="12.75" customHeight="1" x14ac:dyDescent="0.25">
      <c r="F104" s="36"/>
      <c r="G104" s="36"/>
      <c r="H104" s="36"/>
      <c r="I104" s="157"/>
      <c r="J104" s="120"/>
      <c r="K104" s="120"/>
      <c r="L104" s="120"/>
      <c r="M104" s="120"/>
    </row>
    <row r="105" spans="6:13" ht="12.75" customHeight="1" x14ac:dyDescent="0.25">
      <c r="F105" s="36"/>
      <c r="G105" s="36"/>
      <c r="H105" s="36"/>
      <c r="I105" s="103"/>
      <c r="J105" s="157"/>
      <c r="K105" s="120"/>
      <c r="L105" s="120"/>
      <c r="M105" s="120"/>
    </row>
    <row r="106" spans="6:13" ht="12.75" customHeight="1" x14ac:dyDescent="0.25">
      <c r="F106" s="36"/>
      <c r="G106" s="36"/>
      <c r="H106" s="36"/>
      <c r="I106" s="120"/>
      <c r="J106" s="120"/>
      <c r="K106" s="120"/>
      <c r="L106" s="120"/>
      <c r="M106" s="120"/>
    </row>
    <row r="107" spans="6:13" ht="12.75" customHeight="1" x14ac:dyDescent="0.25">
      <c r="F107" s="36"/>
      <c r="G107" s="36"/>
      <c r="H107" s="36"/>
      <c r="I107" s="120"/>
      <c r="J107" s="120"/>
      <c r="K107" s="120"/>
      <c r="L107" s="120"/>
      <c r="M107" s="120"/>
    </row>
    <row r="108" spans="6:13" ht="12.75" customHeight="1" x14ac:dyDescent="0.25">
      <c r="F108" s="36"/>
      <c r="G108" s="36"/>
      <c r="H108" s="36"/>
      <c r="I108" s="102"/>
      <c r="J108" s="120"/>
      <c r="K108" s="120"/>
      <c r="L108" s="120"/>
      <c r="M108" s="120"/>
    </row>
    <row r="109" spans="6:13" ht="12.75" customHeight="1" x14ac:dyDescent="0.25">
      <c r="F109" s="36"/>
      <c r="G109" s="36"/>
      <c r="H109" s="36"/>
      <c r="I109" s="120"/>
      <c r="J109" s="120"/>
      <c r="K109" s="120"/>
      <c r="L109" s="120"/>
      <c r="M109" s="120"/>
    </row>
    <row r="110" spans="6:13" ht="12.75" customHeight="1" x14ac:dyDescent="0.25">
      <c r="F110" s="36"/>
      <c r="G110" s="36"/>
      <c r="H110" s="36"/>
      <c r="I110" s="157"/>
      <c r="J110" s="120"/>
      <c r="K110" s="120"/>
      <c r="L110" s="120"/>
      <c r="M110" s="120"/>
    </row>
    <row r="111" spans="6:13" ht="12.75" customHeight="1" x14ac:dyDescent="0.25">
      <c r="F111" s="36"/>
      <c r="G111" s="36"/>
      <c r="H111" s="36"/>
      <c r="I111" s="102"/>
      <c r="J111" s="120"/>
      <c r="K111" s="120"/>
      <c r="L111" s="120"/>
      <c r="M111" s="120"/>
    </row>
    <row r="112" spans="6:13" ht="12.75" customHeight="1" x14ac:dyDescent="0.25">
      <c r="F112" s="36"/>
      <c r="G112" s="36"/>
      <c r="H112" s="36"/>
      <c r="I112" s="120"/>
      <c r="J112" s="120"/>
      <c r="K112" s="120"/>
      <c r="L112" s="120"/>
      <c r="M112" s="120"/>
    </row>
    <row r="113" spans="6:13" ht="12.75" customHeight="1" x14ac:dyDescent="0.25">
      <c r="F113" s="36"/>
      <c r="G113" s="36"/>
      <c r="H113" s="36"/>
      <c r="I113" s="102"/>
      <c r="J113" s="120"/>
      <c r="K113" s="120"/>
      <c r="L113" s="120"/>
      <c r="M113" s="120"/>
    </row>
    <row r="114" spans="6:13" ht="12.75" customHeight="1" x14ac:dyDescent="0.25">
      <c r="F114" s="36"/>
      <c r="G114" s="36"/>
      <c r="H114" s="36"/>
      <c r="I114" s="157"/>
      <c r="J114" s="120"/>
      <c r="K114" s="120"/>
      <c r="L114" s="120"/>
      <c r="M114" s="120"/>
    </row>
    <row r="115" spans="6:13" ht="12.75" customHeight="1" x14ac:dyDescent="0.25">
      <c r="F115" s="36"/>
      <c r="G115" s="36"/>
      <c r="H115" s="36"/>
      <c r="I115" s="157"/>
      <c r="J115" s="120"/>
      <c r="K115" s="120"/>
      <c r="L115" s="120"/>
      <c r="M115" s="120"/>
    </row>
    <row r="116" spans="6:13" ht="12.75" customHeight="1" x14ac:dyDescent="0.25">
      <c r="F116" s="36"/>
      <c r="G116" s="36"/>
      <c r="H116" s="36"/>
      <c r="I116" s="120"/>
      <c r="J116" s="120"/>
      <c r="K116" s="120"/>
      <c r="L116" s="120"/>
      <c r="M116" s="120"/>
    </row>
    <row r="117" spans="6:13" ht="12.75" customHeight="1" x14ac:dyDescent="0.25">
      <c r="F117" s="36"/>
      <c r="G117" s="36"/>
      <c r="H117" s="36"/>
      <c r="I117" s="102"/>
      <c r="J117" s="120"/>
      <c r="K117" s="120"/>
      <c r="L117" s="120"/>
      <c r="M117" s="120"/>
    </row>
    <row r="118" spans="6:13" ht="12.75" customHeight="1" x14ac:dyDescent="0.25">
      <c r="F118" s="36"/>
      <c r="G118" s="36"/>
      <c r="H118" s="36"/>
      <c r="I118" s="157"/>
      <c r="J118" s="120"/>
      <c r="K118" s="120"/>
      <c r="L118" s="120"/>
      <c r="M118" s="120"/>
    </row>
    <row r="119" spans="6:13" ht="12.75" customHeight="1" x14ac:dyDescent="0.25">
      <c r="F119" s="36"/>
      <c r="G119" s="36"/>
      <c r="H119" s="36"/>
      <c r="I119" s="102"/>
      <c r="J119" s="120"/>
      <c r="K119" s="120"/>
      <c r="L119" s="120"/>
      <c r="M119" s="120"/>
    </row>
    <row r="120" spans="6:13" ht="12.75" customHeight="1" x14ac:dyDescent="0.25">
      <c r="F120" s="36"/>
      <c r="G120" s="36"/>
      <c r="H120" s="36"/>
      <c r="I120" s="120"/>
      <c r="J120" s="120"/>
      <c r="K120" s="120"/>
      <c r="L120" s="120"/>
      <c r="M120" s="120"/>
    </row>
    <row r="121" spans="6:13" ht="12.75" customHeight="1" x14ac:dyDescent="0.25">
      <c r="F121" s="36"/>
      <c r="G121" s="36"/>
      <c r="H121" s="36"/>
      <c r="I121" s="120"/>
      <c r="J121" s="120"/>
      <c r="K121" s="120"/>
      <c r="L121" s="120"/>
      <c r="M121" s="120"/>
    </row>
    <row r="122" spans="6:13" ht="12.75" customHeight="1" x14ac:dyDescent="0.25">
      <c r="F122" s="36"/>
      <c r="G122" s="36"/>
      <c r="H122" s="36"/>
      <c r="I122" s="102"/>
      <c r="J122" s="120"/>
      <c r="K122" s="120"/>
      <c r="L122" s="120"/>
      <c r="M122" s="120"/>
    </row>
    <row r="123" spans="6:13" ht="12.75" customHeight="1" x14ac:dyDescent="0.25">
      <c r="F123" s="36"/>
      <c r="G123" s="36"/>
      <c r="H123" s="36"/>
      <c r="I123" s="102"/>
      <c r="J123" s="120"/>
      <c r="K123" s="120"/>
      <c r="L123" s="120"/>
      <c r="M123" s="120"/>
    </row>
    <row r="124" spans="6:13" ht="12.75" customHeight="1" x14ac:dyDescent="0.25">
      <c r="F124" s="36"/>
      <c r="G124" s="36"/>
      <c r="H124" s="36"/>
      <c r="I124" s="102"/>
      <c r="J124" s="120"/>
      <c r="K124" s="120"/>
      <c r="L124" s="120"/>
      <c r="M124" s="120"/>
    </row>
    <row r="125" spans="6:13" ht="12.75" customHeight="1" x14ac:dyDescent="0.25">
      <c r="F125" s="36"/>
      <c r="G125" s="36"/>
      <c r="H125" s="36"/>
      <c r="I125" s="120"/>
      <c r="J125" s="120"/>
      <c r="K125" s="120"/>
      <c r="L125" s="120"/>
      <c r="M125" s="120"/>
    </row>
    <row r="126" spans="6:13" ht="12.75" customHeight="1" x14ac:dyDescent="0.25">
      <c r="F126" s="36"/>
      <c r="G126" s="36"/>
      <c r="H126" s="36"/>
      <c r="I126" s="120"/>
      <c r="J126" s="120"/>
      <c r="K126" s="120"/>
      <c r="L126" s="120"/>
      <c r="M126" s="120"/>
    </row>
    <row r="127" spans="6:13" ht="12.75" customHeight="1" x14ac:dyDescent="0.25">
      <c r="F127" s="36"/>
      <c r="G127" s="36"/>
      <c r="H127" s="36"/>
      <c r="I127" s="102"/>
      <c r="J127" s="120"/>
      <c r="K127" s="120"/>
      <c r="L127" s="120"/>
      <c r="M127" s="120"/>
    </row>
    <row r="128" spans="6:13" ht="12.75" customHeight="1" x14ac:dyDescent="0.25">
      <c r="F128" s="36"/>
      <c r="G128" s="36"/>
      <c r="H128" s="36"/>
      <c r="I128" s="102"/>
      <c r="J128" s="120"/>
      <c r="K128" s="120"/>
      <c r="L128" s="120"/>
      <c r="M128" s="120"/>
    </row>
    <row r="129" spans="6:17" ht="12.75" customHeight="1" x14ac:dyDescent="0.25">
      <c r="F129" s="36"/>
      <c r="G129" s="36"/>
      <c r="H129" s="36"/>
      <c r="I129" s="102"/>
      <c r="J129" s="120"/>
      <c r="K129" s="120"/>
      <c r="L129" s="120"/>
      <c r="M129" s="120"/>
    </row>
    <row r="130" spans="6:17" ht="12.75" customHeight="1" x14ac:dyDescent="0.25">
      <c r="F130" s="36"/>
      <c r="G130" s="36"/>
      <c r="H130" s="36"/>
      <c r="I130" s="120"/>
      <c r="J130" s="120"/>
      <c r="K130" s="120"/>
      <c r="L130" s="120"/>
      <c r="M130" s="120"/>
    </row>
    <row r="131" spans="6:17" ht="12.75" customHeight="1" x14ac:dyDescent="0.25">
      <c r="F131" s="36"/>
      <c r="G131" s="36"/>
      <c r="H131" s="36"/>
      <c r="I131" s="120"/>
      <c r="J131" s="120"/>
      <c r="K131" s="120"/>
      <c r="L131" s="120"/>
      <c r="M131" s="120"/>
    </row>
    <row r="132" spans="6:17" ht="12.75" customHeight="1" x14ac:dyDescent="0.25">
      <c r="F132" s="36"/>
      <c r="G132" s="36"/>
      <c r="H132" s="36"/>
      <c r="I132" s="102"/>
      <c r="J132" s="120"/>
      <c r="K132" s="120"/>
      <c r="L132" s="120"/>
      <c r="M132" s="120"/>
    </row>
    <row r="133" spans="6:17" ht="12.75" customHeight="1" x14ac:dyDescent="0.25">
      <c r="F133" s="36"/>
      <c r="G133" s="36"/>
      <c r="H133" s="36"/>
      <c r="I133" s="102"/>
      <c r="J133" s="120"/>
      <c r="K133" s="120"/>
      <c r="L133" s="120"/>
      <c r="M133" s="120"/>
    </row>
    <row r="134" spans="6:17" ht="12.75" customHeight="1" x14ac:dyDescent="0.25">
      <c r="F134" s="36"/>
      <c r="G134" s="36"/>
      <c r="H134" s="36"/>
      <c r="I134" s="120"/>
      <c r="J134" s="120"/>
      <c r="K134" s="120"/>
      <c r="L134" s="120"/>
      <c r="M134" s="102"/>
      <c r="O134" s="29"/>
      <c r="P134" s="29"/>
    </row>
    <row r="135" spans="6:17" ht="12.75" customHeight="1" x14ac:dyDescent="0.25">
      <c r="F135" s="36"/>
      <c r="G135" s="36"/>
      <c r="H135" s="36"/>
      <c r="I135" s="120"/>
      <c r="J135" s="120"/>
      <c r="K135" s="120"/>
      <c r="L135" s="120"/>
      <c r="M135" s="102"/>
      <c r="O135" s="29"/>
      <c r="P135" s="29"/>
      <c r="Q135" s="30"/>
    </row>
    <row r="136" spans="6:17" ht="12.75" customHeight="1" x14ac:dyDescent="0.25">
      <c r="F136" s="36"/>
      <c r="G136" s="36"/>
      <c r="H136" s="36"/>
      <c r="I136" s="102"/>
      <c r="J136" s="120"/>
      <c r="K136" s="120"/>
      <c r="L136" s="120"/>
      <c r="M136" s="120"/>
    </row>
    <row r="137" spans="6:17" ht="12.75" customHeight="1" x14ac:dyDescent="0.25">
      <c r="F137" s="36"/>
      <c r="G137" s="36"/>
      <c r="H137" s="36"/>
      <c r="I137" s="102"/>
      <c r="J137" s="102"/>
      <c r="K137" s="120"/>
      <c r="L137" s="120"/>
      <c r="M137" s="120"/>
    </row>
    <row r="138" spans="6:17" ht="12.75" customHeight="1" x14ac:dyDescent="0.25">
      <c r="F138" s="36"/>
      <c r="G138" s="36"/>
      <c r="H138" s="36"/>
      <c r="I138" s="102"/>
      <c r="J138" s="103"/>
      <c r="K138" s="120"/>
      <c r="L138" s="120"/>
      <c r="M138" s="120"/>
    </row>
    <row r="139" spans="6:17" ht="12.75" customHeight="1" x14ac:dyDescent="0.25">
      <c r="F139" s="36"/>
      <c r="G139" s="36"/>
      <c r="H139" s="36"/>
      <c r="I139" s="120"/>
      <c r="J139" s="120"/>
      <c r="K139" s="120"/>
      <c r="L139" s="120"/>
      <c r="M139" s="102"/>
      <c r="O139" s="29"/>
      <c r="P139" s="29"/>
    </row>
    <row r="140" spans="6:17" ht="12.75" customHeight="1" x14ac:dyDescent="0.25">
      <c r="F140" s="36"/>
      <c r="G140" s="36"/>
      <c r="H140" s="36"/>
      <c r="I140" s="120"/>
      <c r="J140" s="120"/>
      <c r="K140" s="120"/>
      <c r="L140" s="120"/>
      <c r="M140" s="102"/>
      <c r="O140" s="29"/>
      <c r="P140" s="29"/>
      <c r="Q140" s="30"/>
    </row>
    <row r="141" spans="6:17" ht="12.75" customHeight="1" x14ac:dyDescent="0.25">
      <c r="F141" s="36"/>
      <c r="G141" s="36"/>
      <c r="H141" s="36"/>
      <c r="I141" s="120"/>
      <c r="J141" s="120"/>
      <c r="K141" s="120"/>
      <c r="L141" s="120"/>
      <c r="M141" s="120"/>
    </row>
    <row r="142" spans="6:17" ht="12.75" customHeight="1" x14ac:dyDescent="0.25">
      <c r="F142" s="36"/>
      <c r="G142" s="36"/>
      <c r="H142" s="36"/>
      <c r="I142" s="120"/>
      <c r="J142" s="120"/>
      <c r="K142" s="120"/>
      <c r="L142" s="120"/>
      <c r="M142" s="120"/>
    </row>
    <row r="143" spans="6:17" ht="12.75" customHeight="1" x14ac:dyDescent="0.25">
      <c r="F143" s="36"/>
      <c r="G143" s="36"/>
      <c r="H143" s="36"/>
      <c r="I143" s="102"/>
      <c r="J143" s="120"/>
      <c r="K143" s="120"/>
      <c r="L143" s="120"/>
      <c r="M143" s="120"/>
    </row>
    <row r="144" spans="6:17" ht="12.75" customHeight="1" x14ac:dyDescent="0.25">
      <c r="F144" s="36"/>
      <c r="G144" s="36"/>
      <c r="H144" s="36"/>
      <c r="I144" s="120"/>
      <c r="J144" s="120"/>
      <c r="K144" s="120"/>
      <c r="L144" s="120"/>
      <c r="M144" s="120"/>
    </row>
    <row r="145" spans="6:13" ht="12.75" customHeight="1" x14ac:dyDescent="0.25">
      <c r="F145" s="36"/>
      <c r="G145" s="36"/>
      <c r="H145" s="36"/>
      <c r="I145" s="102"/>
      <c r="J145" s="120"/>
      <c r="K145" s="120"/>
      <c r="L145" s="120"/>
      <c r="M145" s="120"/>
    </row>
    <row r="146" spans="6:13" ht="12.75" customHeight="1" x14ac:dyDescent="0.25">
      <c r="F146" s="36"/>
      <c r="G146" s="36"/>
      <c r="H146" s="36"/>
      <c r="I146" s="102"/>
      <c r="J146" s="120"/>
      <c r="K146" s="120"/>
      <c r="L146" s="120"/>
      <c r="M146" s="120"/>
    </row>
    <row r="147" spans="6:13" ht="12.75" customHeight="1" x14ac:dyDescent="0.25">
      <c r="F147" s="36"/>
      <c r="G147" s="36"/>
      <c r="H147" s="36"/>
      <c r="I147" s="120"/>
      <c r="J147" s="120"/>
      <c r="K147" s="120"/>
      <c r="L147" s="120"/>
      <c r="M147" s="120"/>
    </row>
    <row r="148" spans="6:13" ht="12.75" customHeight="1" x14ac:dyDescent="0.25">
      <c r="F148" s="36"/>
      <c r="G148" s="36"/>
      <c r="H148" s="36"/>
      <c r="I148" s="120"/>
      <c r="J148" s="120"/>
      <c r="K148" s="120"/>
      <c r="L148" s="120"/>
      <c r="M148" s="120"/>
    </row>
    <row r="149" spans="6:13" ht="12.75" customHeight="1" x14ac:dyDescent="0.25">
      <c r="F149" s="36"/>
      <c r="G149" s="36"/>
      <c r="H149" s="36"/>
      <c r="I149" s="120"/>
      <c r="J149" s="120"/>
      <c r="K149" s="120"/>
      <c r="L149" s="120"/>
      <c r="M149" s="120"/>
    </row>
    <row r="150" spans="6:13" ht="12.75" customHeight="1" x14ac:dyDescent="0.25">
      <c r="F150" s="36"/>
      <c r="G150" s="36"/>
      <c r="H150" s="36"/>
      <c r="I150" s="102"/>
      <c r="J150" s="102"/>
      <c r="K150" s="120"/>
      <c r="L150" s="120"/>
      <c r="M150" s="120"/>
    </row>
    <row r="151" spans="6:13" ht="12.75" customHeight="1" x14ac:dyDescent="0.25">
      <c r="F151" s="36"/>
      <c r="G151" s="36"/>
      <c r="H151" s="36"/>
      <c r="I151" s="120"/>
      <c r="J151" s="102"/>
      <c r="K151" s="120"/>
      <c r="L151" s="120"/>
      <c r="M151" s="120"/>
    </row>
    <row r="152" spans="6:13" ht="12.75" customHeight="1" x14ac:dyDescent="0.3">
      <c r="F152" s="36"/>
      <c r="G152" s="36"/>
      <c r="H152" s="36"/>
      <c r="I152" s="102"/>
      <c r="J152" s="102"/>
      <c r="K152" s="164"/>
      <c r="L152" s="120"/>
      <c r="M152" s="120"/>
    </row>
    <row r="153" spans="6:13" ht="12.75" customHeight="1" x14ac:dyDescent="0.25">
      <c r="F153" s="36"/>
      <c r="G153" s="36"/>
      <c r="H153" s="36"/>
      <c r="I153" s="102"/>
      <c r="J153" s="120"/>
      <c r="K153" s="120"/>
      <c r="L153" s="120"/>
      <c r="M153" s="120"/>
    </row>
    <row r="154" spans="6:13" ht="12.75" customHeight="1" x14ac:dyDescent="0.25">
      <c r="F154" s="36"/>
      <c r="G154" s="36"/>
      <c r="H154" s="36"/>
      <c r="I154" s="120"/>
      <c r="J154" s="120"/>
      <c r="K154" s="120"/>
      <c r="L154" s="120"/>
      <c r="M154" s="120"/>
    </row>
    <row r="155" spans="6:13" ht="12.75" customHeight="1" x14ac:dyDescent="0.25">
      <c r="F155" s="36"/>
      <c r="G155" s="36"/>
      <c r="H155" s="36"/>
      <c r="I155" s="120"/>
      <c r="J155" s="120"/>
      <c r="K155" s="120"/>
      <c r="L155" s="120"/>
      <c r="M155" s="120"/>
    </row>
    <row r="156" spans="6:13" ht="12.75" customHeight="1" x14ac:dyDescent="0.25">
      <c r="F156" s="36"/>
      <c r="G156" s="36"/>
      <c r="H156" s="36"/>
      <c r="I156" s="120"/>
      <c r="J156" s="120"/>
      <c r="K156" s="120"/>
      <c r="L156" s="120"/>
      <c r="M156" s="120"/>
    </row>
    <row r="157" spans="6:13" ht="12.75" customHeight="1" x14ac:dyDescent="0.25">
      <c r="F157" s="36"/>
      <c r="G157" s="36"/>
      <c r="H157" s="36"/>
      <c r="I157" s="102"/>
      <c r="J157" s="120"/>
      <c r="K157" s="120"/>
      <c r="L157" s="120"/>
      <c r="M157" s="120"/>
    </row>
    <row r="158" spans="6:13" ht="12.75" customHeight="1" x14ac:dyDescent="0.25">
      <c r="F158" s="36"/>
      <c r="G158" s="36"/>
      <c r="H158" s="36"/>
      <c r="I158" s="120"/>
      <c r="J158" s="102"/>
      <c r="K158" s="120"/>
      <c r="L158" s="120"/>
      <c r="M158" s="120"/>
    </row>
    <row r="159" spans="6:13" ht="12.75" customHeight="1" x14ac:dyDescent="0.3">
      <c r="F159" s="36"/>
      <c r="G159" s="36"/>
      <c r="H159" s="36"/>
      <c r="I159" s="102"/>
      <c r="J159" s="102"/>
      <c r="K159" s="164"/>
      <c r="L159" s="120"/>
      <c r="M159" s="120"/>
    </row>
    <row r="160" spans="6:13" ht="12.75" customHeight="1" x14ac:dyDescent="0.25">
      <c r="F160" s="36"/>
      <c r="G160" s="36"/>
      <c r="H160" s="36"/>
      <c r="I160" s="102"/>
      <c r="J160" s="120"/>
      <c r="K160" s="120"/>
      <c r="L160" s="120"/>
      <c r="M160" s="120"/>
    </row>
    <row r="161" spans="6:14" ht="12.75" customHeight="1" x14ac:dyDescent="0.25">
      <c r="F161" s="36"/>
      <c r="G161" s="36"/>
      <c r="H161" s="36"/>
      <c r="I161" s="120"/>
      <c r="J161" s="120"/>
      <c r="K161" s="120"/>
      <c r="L161" s="120"/>
      <c r="M161" s="120"/>
    </row>
    <row r="162" spans="6:14" ht="12.75" customHeight="1" x14ac:dyDescent="0.25">
      <c r="F162" s="36"/>
      <c r="G162" s="36"/>
      <c r="H162" s="36"/>
      <c r="I162" s="120"/>
      <c r="J162" s="120"/>
      <c r="K162" s="120"/>
      <c r="L162" s="120"/>
      <c r="M162" s="120"/>
    </row>
    <row r="163" spans="6:14" ht="12.75" customHeight="1" x14ac:dyDescent="0.25">
      <c r="F163" s="36"/>
      <c r="G163" s="36"/>
      <c r="H163" s="36"/>
      <c r="I163" s="157"/>
      <c r="J163" s="102"/>
      <c r="K163" s="120"/>
      <c r="L163" s="120"/>
      <c r="M163" s="120"/>
    </row>
    <row r="164" spans="6:14" ht="12.75" customHeight="1" x14ac:dyDescent="0.3">
      <c r="F164" s="36"/>
      <c r="G164" s="36"/>
      <c r="H164" s="36"/>
      <c r="I164" s="101"/>
      <c r="J164" s="102"/>
      <c r="K164" s="164"/>
      <c r="L164" s="120"/>
      <c r="M164" s="120"/>
    </row>
    <row r="165" spans="6:14" ht="12.75" customHeight="1" x14ac:dyDescent="0.25">
      <c r="F165" s="36"/>
      <c r="G165" s="36"/>
      <c r="H165" s="36"/>
      <c r="I165" s="102"/>
      <c r="J165" s="120"/>
      <c r="K165" s="120"/>
      <c r="L165" s="120"/>
      <c r="M165" s="120"/>
    </row>
    <row r="166" spans="6:14" ht="12.75" customHeight="1" x14ac:dyDescent="0.25">
      <c r="F166" s="36"/>
      <c r="G166" s="36"/>
      <c r="H166" s="36"/>
      <c r="I166" s="120"/>
      <c r="J166" s="120"/>
      <c r="K166" s="120"/>
      <c r="L166" s="120"/>
      <c r="M166" s="120"/>
    </row>
    <row r="167" spans="6:14" ht="12.75" customHeight="1" x14ac:dyDescent="0.25">
      <c r="F167" s="36"/>
      <c r="G167" s="36"/>
      <c r="H167" s="36"/>
      <c r="I167" s="120"/>
      <c r="J167" s="120"/>
      <c r="K167" s="120"/>
      <c r="L167" s="120"/>
      <c r="M167" s="120"/>
    </row>
    <row r="168" spans="6:14" ht="12.75" customHeight="1" x14ac:dyDescent="0.25">
      <c r="F168" s="36"/>
      <c r="G168" s="36"/>
      <c r="H168" s="36"/>
      <c r="I168" s="157"/>
      <c r="J168" s="102"/>
      <c r="K168" s="120"/>
      <c r="L168" s="120"/>
      <c r="M168" s="120"/>
    </row>
    <row r="169" spans="6:14" ht="12.75" customHeight="1" x14ac:dyDescent="0.3">
      <c r="F169" s="36"/>
      <c r="G169" s="36"/>
      <c r="H169" s="36"/>
      <c r="I169" s="101"/>
      <c r="J169" s="102"/>
      <c r="K169" s="164"/>
      <c r="L169" s="120"/>
      <c r="M169" s="120"/>
    </row>
    <row r="170" spans="6:14" ht="12.75" customHeight="1" x14ac:dyDescent="0.25">
      <c r="F170" s="36"/>
      <c r="G170" s="36"/>
      <c r="H170" s="36"/>
      <c r="I170" s="101"/>
      <c r="J170" s="120"/>
      <c r="K170" s="120"/>
      <c r="L170" s="157"/>
      <c r="M170" s="120"/>
    </row>
    <row r="171" spans="6:14" ht="12.75" customHeight="1" x14ac:dyDescent="0.25">
      <c r="F171" s="36"/>
      <c r="G171" s="36"/>
      <c r="H171" s="36"/>
      <c r="I171" s="120"/>
      <c r="J171" s="120"/>
      <c r="K171" s="120"/>
      <c r="L171" s="157"/>
      <c r="M171" s="120"/>
    </row>
    <row r="172" spans="6:14" ht="12.75" customHeight="1" x14ac:dyDescent="0.25">
      <c r="F172" s="36"/>
      <c r="G172" s="36"/>
      <c r="H172" s="36"/>
      <c r="I172" s="120"/>
      <c r="J172" s="120"/>
      <c r="K172" s="120"/>
      <c r="L172" s="157"/>
      <c r="M172" s="157"/>
    </row>
    <row r="173" spans="6:14" ht="12.75" customHeight="1" x14ac:dyDescent="0.25">
      <c r="F173" s="36"/>
      <c r="G173" s="36"/>
      <c r="H173" s="36"/>
      <c r="I173" s="120"/>
      <c r="J173" s="120"/>
      <c r="K173" s="120"/>
      <c r="L173" s="157"/>
      <c r="M173" s="157"/>
      <c r="N173" s="30"/>
    </row>
    <row r="174" spans="6:14" ht="12.75" customHeight="1" x14ac:dyDescent="0.25">
      <c r="F174" s="36"/>
      <c r="G174" s="36"/>
      <c r="H174" s="36"/>
      <c r="I174" s="120"/>
      <c r="J174" s="102"/>
      <c r="K174" s="120"/>
      <c r="L174" s="157"/>
      <c r="M174" s="157"/>
    </row>
    <row r="175" spans="6:14" ht="12.75" customHeight="1" x14ac:dyDescent="0.25">
      <c r="F175" s="36"/>
      <c r="G175" s="36"/>
      <c r="H175" s="36"/>
      <c r="I175" s="120"/>
      <c r="J175" s="103"/>
      <c r="K175" s="120"/>
      <c r="L175" s="157"/>
      <c r="M175" s="157"/>
    </row>
    <row r="176" spans="6:14" ht="12.75" customHeight="1" x14ac:dyDescent="0.3">
      <c r="F176" s="36"/>
      <c r="G176" s="36"/>
      <c r="H176" s="36"/>
      <c r="I176" s="101"/>
      <c r="J176" s="102"/>
      <c r="K176" s="164"/>
      <c r="L176" s="120"/>
      <c r="M176" s="120"/>
    </row>
    <row r="177" spans="6:13" ht="12.75" customHeight="1" x14ac:dyDescent="0.25">
      <c r="F177" s="36"/>
      <c r="G177" s="36"/>
      <c r="H177" s="36"/>
      <c r="I177" s="101"/>
      <c r="J177" s="120"/>
      <c r="K177" s="120"/>
      <c r="L177" s="120"/>
      <c r="M177" s="120"/>
    </row>
    <row r="178" spans="6:13" ht="12.75" customHeight="1" x14ac:dyDescent="0.25">
      <c r="F178" s="36"/>
      <c r="G178" s="36"/>
      <c r="H178" s="36"/>
      <c r="I178" s="120"/>
      <c r="J178" s="120"/>
      <c r="K178" s="120"/>
      <c r="L178" s="120"/>
      <c r="M178" s="120"/>
    </row>
    <row r="179" spans="6:13" ht="12.75" customHeight="1" x14ac:dyDescent="0.25">
      <c r="F179" s="36"/>
      <c r="G179" s="36"/>
      <c r="H179" s="36"/>
      <c r="I179" s="120"/>
      <c r="J179" s="120"/>
      <c r="K179" s="120"/>
      <c r="L179" s="120"/>
      <c r="M179" s="120"/>
    </row>
    <row r="180" spans="6:13" ht="12.75" customHeight="1" x14ac:dyDescent="0.25">
      <c r="F180" s="36"/>
      <c r="G180" s="36"/>
      <c r="H180" s="36"/>
      <c r="I180" s="120"/>
      <c r="J180" s="120"/>
      <c r="K180" s="120"/>
      <c r="L180" s="120"/>
      <c r="M180" s="120"/>
    </row>
    <row r="181" spans="6:13" ht="12.75" customHeight="1" x14ac:dyDescent="0.25">
      <c r="F181" s="36"/>
      <c r="G181" s="36"/>
      <c r="H181" s="36"/>
      <c r="I181" s="101"/>
      <c r="J181" s="120"/>
      <c r="K181" s="120"/>
      <c r="L181" s="120"/>
      <c r="M181" s="120"/>
    </row>
    <row r="182" spans="6:13" ht="12.75" customHeight="1" x14ac:dyDescent="0.25">
      <c r="F182" s="36"/>
      <c r="G182" s="36"/>
      <c r="H182" s="36"/>
      <c r="I182" s="101"/>
      <c r="J182" s="120"/>
      <c r="K182" s="120"/>
      <c r="L182" s="120"/>
      <c r="M182" s="120"/>
    </row>
    <row r="183" spans="6:13" ht="12.75" customHeight="1" x14ac:dyDescent="0.25">
      <c r="F183" s="36"/>
      <c r="G183" s="36"/>
      <c r="H183" s="36"/>
      <c r="I183" s="120"/>
      <c r="J183" s="120"/>
      <c r="K183" s="120"/>
      <c r="L183" s="120"/>
      <c r="M183" s="120"/>
    </row>
    <row r="184" spans="6:13" ht="12.75" customHeight="1" x14ac:dyDescent="0.25">
      <c r="F184" s="36"/>
      <c r="G184" s="36"/>
      <c r="H184" s="36"/>
      <c r="I184" s="120"/>
      <c r="J184" s="120"/>
      <c r="K184" s="120"/>
      <c r="L184" s="120"/>
      <c r="M184" s="120"/>
    </row>
    <row r="185" spans="6:13" ht="12.75" customHeight="1" x14ac:dyDescent="0.25">
      <c r="F185" s="36"/>
      <c r="G185" s="36"/>
      <c r="H185" s="36"/>
      <c r="I185" s="120"/>
      <c r="J185" s="120"/>
      <c r="K185" s="120"/>
      <c r="L185" s="120"/>
      <c r="M185" s="120"/>
    </row>
    <row r="186" spans="6:13" ht="12.75" customHeight="1" x14ac:dyDescent="0.25">
      <c r="F186" s="36"/>
      <c r="G186" s="36"/>
      <c r="H186" s="36"/>
      <c r="I186" s="120"/>
      <c r="J186" s="120"/>
      <c r="K186" s="120"/>
      <c r="L186" s="120"/>
      <c r="M186" s="120"/>
    </row>
    <row r="187" spans="6:13" ht="12.75" customHeight="1" x14ac:dyDescent="0.25">
      <c r="F187" s="36"/>
      <c r="G187" s="36"/>
      <c r="H187" s="36"/>
      <c r="I187" s="101"/>
      <c r="J187" s="120"/>
      <c r="K187" s="120"/>
      <c r="L187" s="120"/>
      <c r="M187" s="120"/>
    </row>
    <row r="188" spans="6:13" ht="12.75" customHeight="1" x14ac:dyDescent="0.25">
      <c r="F188" s="36"/>
      <c r="G188" s="36"/>
      <c r="H188" s="36"/>
      <c r="I188" s="101"/>
      <c r="J188" s="120"/>
      <c r="K188" s="120"/>
      <c r="L188" s="120"/>
      <c r="M188" s="120"/>
    </row>
    <row r="189" spans="6:13" ht="12.75" customHeight="1" x14ac:dyDescent="0.25">
      <c r="F189" s="36"/>
      <c r="G189" s="36"/>
      <c r="H189" s="36"/>
      <c r="I189" s="120"/>
      <c r="J189" s="120"/>
      <c r="K189" s="120"/>
      <c r="L189" s="120"/>
      <c r="M189" s="120"/>
    </row>
    <row r="190" spans="6:13" ht="12.75" customHeight="1" x14ac:dyDescent="0.25">
      <c r="F190" s="36"/>
      <c r="G190" s="36"/>
      <c r="H190" s="36"/>
      <c r="I190" s="120"/>
      <c r="J190" s="120"/>
      <c r="K190" s="157"/>
      <c r="L190" s="157"/>
      <c r="M190" s="120"/>
    </row>
    <row r="191" spans="6:13" ht="12.75" customHeight="1" x14ac:dyDescent="0.25">
      <c r="F191" s="36"/>
      <c r="G191" s="36"/>
      <c r="H191" s="36"/>
      <c r="I191" s="101"/>
      <c r="J191" s="120"/>
      <c r="K191" s="101"/>
      <c r="L191" s="120"/>
      <c r="M191" s="120"/>
    </row>
    <row r="192" spans="6:13" ht="12.75" customHeight="1" x14ac:dyDescent="0.25">
      <c r="F192" s="36"/>
      <c r="G192" s="36"/>
      <c r="H192" s="36"/>
      <c r="I192" s="101"/>
      <c r="J192" s="120"/>
      <c r="K192" s="101"/>
      <c r="L192" s="120"/>
      <c r="M192" s="120"/>
    </row>
    <row r="193" spans="6:14" ht="12.75" customHeight="1" x14ac:dyDescent="0.25">
      <c r="F193" s="36"/>
      <c r="G193" s="36"/>
      <c r="H193" s="36"/>
      <c r="I193" s="120"/>
      <c r="J193" s="120"/>
      <c r="K193" s="120"/>
      <c r="L193" s="120"/>
      <c r="M193" s="120"/>
    </row>
    <row r="194" spans="6:14" ht="12.75" customHeight="1" x14ac:dyDescent="0.25">
      <c r="F194" s="36"/>
      <c r="G194" s="36"/>
      <c r="H194" s="36"/>
      <c r="I194" s="120"/>
      <c r="J194" s="120"/>
      <c r="K194" s="120"/>
      <c r="L194" s="120"/>
      <c r="M194" s="120"/>
    </row>
    <row r="195" spans="6:14" ht="12.75" customHeight="1" x14ac:dyDescent="0.25">
      <c r="F195" s="36"/>
      <c r="G195" s="36"/>
      <c r="H195" s="36"/>
      <c r="I195" s="120"/>
      <c r="J195" s="120"/>
      <c r="K195" s="146"/>
      <c r="L195" s="120"/>
      <c r="M195" s="120"/>
      <c r="N195" s="15"/>
    </row>
    <row r="196" spans="6:14" ht="12.75" customHeight="1" x14ac:dyDescent="0.25">
      <c r="F196" s="36"/>
      <c r="G196" s="36"/>
      <c r="H196" s="36"/>
      <c r="I196" s="120"/>
      <c r="J196" s="120"/>
      <c r="K196" s="146"/>
      <c r="L196" s="120"/>
      <c r="M196" s="146"/>
    </row>
    <row r="197" spans="6:14" ht="12.75" customHeight="1" x14ac:dyDescent="0.25">
      <c r="F197" s="36"/>
      <c r="G197" s="36"/>
      <c r="H197" s="36"/>
      <c r="I197" s="120"/>
      <c r="J197" s="120"/>
      <c r="K197" s="146"/>
      <c r="L197" s="120"/>
      <c r="M197" s="146"/>
    </row>
    <row r="198" spans="6:14" ht="12.75" customHeight="1" x14ac:dyDescent="0.25">
      <c r="F198" s="36"/>
      <c r="G198" s="36"/>
      <c r="H198" s="36"/>
      <c r="I198" s="120"/>
      <c r="J198" s="120"/>
      <c r="K198" s="146"/>
      <c r="L198" s="120"/>
      <c r="M198" s="120"/>
    </row>
    <row r="199" spans="6:14" ht="12.75" customHeight="1" x14ac:dyDescent="0.25">
      <c r="F199" s="36"/>
      <c r="G199" s="36"/>
      <c r="H199" s="36"/>
      <c r="I199" s="120"/>
      <c r="J199" s="120"/>
      <c r="K199" s="146"/>
      <c r="L199" s="120"/>
      <c r="M199" s="146"/>
    </row>
    <row r="200" spans="6:14" ht="12.75" customHeight="1" x14ac:dyDescent="0.25">
      <c r="F200" s="36"/>
      <c r="G200" s="36"/>
      <c r="H200" s="36"/>
      <c r="I200" s="120"/>
      <c r="J200" s="120"/>
      <c r="K200" s="146"/>
      <c r="L200" s="120"/>
      <c r="M200" s="146"/>
    </row>
    <row r="201" spans="6:14" ht="12.75" customHeight="1" x14ac:dyDescent="0.25">
      <c r="F201" s="36"/>
      <c r="G201" s="36"/>
      <c r="H201" s="36"/>
      <c r="I201" s="120"/>
      <c r="J201" s="120"/>
      <c r="K201" s="146"/>
      <c r="L201" s="120"/>
      <c r="M201" s="146"/>
    </row>
    <row r="202" spans="6:14" ht="12.75" customHeight="1" x14ac:dyDescent="0.25">
      <c r="F202" s="36"/>
      <c r="G202" s="36"/>
      <c r="H202" s="36"/>
      <c r="I202" s="120"/>
      <c r="J202" s="120"/>
      <c r="K202" s="146"/>
      <c r="L202" s="120"/>
      <c r="M202" s="146"/>
    </row>
    <row r="203" spans="6:14" ht="12.75" customHeight="1" x14ac:dyDescent="0.25">
      <c r="F203" s="36"/>
      <c r="G203" s="36"/>
      <c r="H203" s="36"/>
      <c r="I203" s="120"/>
      <c r="J203" s="120"/>
      <c r="K203" s="146"/>
      <c r="L203" s="120"/>
      <c r="M203" s="120"/>
    </row>
    <row r="204" spans="6:14" ht="12.75" customHeight="1" x14ac:dyDescent="0.25">
      <c r="F204" s="36"/>
      <c r="G204" s="36"/>
      <c r="H204" s="36"/>
      <c r="I204" s="120"/>
      <c r="J204" s="120"/>
      <c r="K204" s="146"/>
      <c r="L204" s="120"/>
      <c r="M204" s="146"/>
    </row>
    <row r="205" spans="6:14" ht="12.75" customHeight="1" x14ac:dyDescent="0.25">
      <c r="F205" s="36"/>
      <c r="G205" s="36"/>
      <c r="H205" s="36"/>
      <c r="I205" s="120"/>
      <c r="J205" s="120"/>
      <c r="K205" s="146"/>
      <c r="L205" s="120"/>
      <c r="M205" s="120"/>
    </row>
    <row r="206" spans="6:14" ht="12.75" customHeight="1" x14ac:dyDescent="0.25">
      <c r="F206" s="36"/>
      <c r="G206" s="36"/>
      <c r="H206" s="36"/>
      <c r="I206" s="120"/>
      <c r="J206" s="120"/>
      <c r="K206" s="146"/>
      <c r="L206" s="120"/>
      <c r="M206" s="146"/>
    </row>
    <row r="207" spans="6:14" ht="12.75" customHeight="1" x14ac:dyDescent="0.25">
      <c r="F207" s="36"/>
      <c r="G207" s="36"/>
      <c r="H207" s="36"/>
      <c r="I207" s="120"/>
      <c r="J207" s="120"/>
      <c r="K207" s="146"/>
      <c r="L207" s="120"/>
      <c r="M207" s="120"/>
    </row>
    <row r="208" spans="6:14" ht="12.75" customHeight="1" x14ac:dyDescent="0.25">
      <c r="F208" s="36"/>
      <c r="G208" s="36"/>
      <c r="H208" s="36"/>
      <c r="I208" s="120"/>
      <c r="J208" s="120"/>
      <c r="K208" s="146"/>
      <c r="L208" s="120"/>
      <c r="M208" s="146"/>
    </row>
    <row r="209" spans="6:13" ht="12.75" customHeight="1" x14ac:dyDescent="0.25">
      <c r="F209" s="36"/>
      <c r="G209" s="36"/>
      <c r="H209" s="36"/>
      <c r="I209" s="120"/>
      <c r="J209" s="120"/>
      <c r="K209" s="146"/>
      <c r="L209" s="120"/>
      <c r="M209" s="120"/>
    </row>
    <row r="210" spans="6:13" ht="12.75" customHeight="1" x14ac:dyDescent="0.25">
      <c r="F210" s="36"/>
      <c r="G210" s="36"/>
      <c r="H210" s="36"/>
      <c r="I210" s="120"/>
      <c r="J210" s="120"/>
      <c r="K210" s="146"/>
      <c r="L210" s="120"/>
      <c r="M210" s="146"/>
    </row>
    <row r="211" spans="6:13" ht="12.75" customHeight="1" x14ac:dyDescent="0.25">
      <c r="F211" s="36"/>
      <c r="G211" s="36"/>
      <c r="H211" s="36"/>
      <c r="I211" s="120"/>
      <c r="J211" s="120"/>
      <c r="K211" s="146"/>
      <c r="L211" s="120"/>
      <c r="M211" s="120"/>
    </row>
    <row r="212" spans="6:13" ht="12.75" customHeight="1" x14ac:dyDescent="0.25">
      <c r="F212" s="36"/>
      <c r="G212" s="36"/>
      <c r="H212" s="36"/>
      <c r="I212" s="120"/>
      <c r="J212" s="120"/>
      <c r="K212" s="146"/>
      <c r="L212" s="120"/>
      <c r="M212" s="146"/>
    </row>
    <row r="213" spans="6:13" ht="12.75" customHeight="1" x14ac:dyDescent="0.25">
      <c r="F213" s="36"/>
      <c r="G213" s="36"/>
      <c r="H213" s="36"/>
      <c r="I213" s="120"/>
      <c r="J213" s="120"/>
      <c r="K213" s="146"/>
      <c r="L213" s="120"/>
      <c r="M213" s="120"/>
    </row>
    <row r="214" spans="6:13" ht="12.75" customHeight="1" x14ac:dyDescent="0.25">
      <c r="F214" s="36"/>
      <c r="G214" s="36"/>
      <c r="H214" s="36"/>
      <c r="I214" s="120"/>
      <c r="J214" s="120"/>
      <c r="K214" s="146"/>
      <c r="L214" s="120"/>
      <c r="M214" s="146"/>
    </row>
    <row r="215" spans="6:13" ht="12.75" customHeight="1" x14ac:dyDescent="0.25">
      <c r="F215" s="36"/>
      <c r="G215" s="36"/>
      <c r="H215" s="36"/>
      <c r="I215" s="120"/>
      <c r="J215" s="120"/>
      <c r="K215" s="146"/>
      <c r="L215" s="120"/>
      <c r="M215" s="120"/>
    </row>
    <row r="216" spans="6:13" ht="12.75" customHeight="1" x14ac:dyDescent="0.25">
      <c r="F216" s="36"/>
      <c r="G216" s="36"/>
      <c r="H216" s="36"/>
      <c r="I216" s="120"/>
      <c r="J216" s="120"/>
      <c r="K216" s="146"/>
      <c r="L216" s="120"/>
      <c r="M216" s="146"/>
    </row>
    <row r="217" spans="6:13" ht="12.75" customHeight="1" x14ac:dyDescent="0.25">
      <c r="F217" s="36"/>
      <c r="G217" s="36"/>
      <c r="H217" s="36"/>
      <c r="I217" s="120"/>
      <c r="J217" s="120"/>
      <c r="K217" s="146"/>
      <c r="L217" s="120"/>
      <c r="M217" s="120"/>
    </row>
    <row r="218" spans="6:13" ht="12.75" customHeight="1" x14ac:dyDescent="0.25">
      <c r="F218" s="36"/>
      <c r="G218" s="36"/>
      <c r="H218" s="36"/>
      <c r="I218" s="120"/>
      <c r="J218" s="120"/>
      <c r="K218" s="146"/>
      <c r="L218" s="120"/>
      <c r="M218" s="146"/>
    </row>
    <row r="219" spans="6:13" ht="12.75" customHeight="1" x14ac:dyDescent="0.25">
      <c r="F219" s="36"/>
      <c r="G219" s="36"/>
      <c r="H219" s="36"/>
      <c r="I219" s="120"/>
      <c r="J219" s="120"/>
      <c r="K219" s="146"/>
      <c r="L219" s="120"/>
      <c r="M219" s="120"/>
    </row>
    <row r="220" spans="6:13" ht="12.75" customHeight="1" x14ac:dyDescent="0.25">
      <c r="F220" s="36"/>
      <c r="G220" s="36"/>
      <c r="H220" s="36"/>
      <c r="I220" s="120"/>
      <c r="J220" s="120"/>
      <c r="K220" s="146"/>
      <c r="L220" s="120"/>
      <c r="M220" s="146"/>
    </row>
    <row r="221" spans="6:13" ht="12.75" customHeight="1" x14ac:dyDescent="0.25">
      <c r="F221" s="36"/>
      <c r="G221" s="36"/>
      <c r="H221" s="36"/>
      <c r="I221" s="120"/>
      <c r="J221" s="120"/>
      <c r="K221" s="146"/>
      <c r="L221" s="120"/>
      <c r="M221" s="120"/>
    </row>
    <row r="222" spans="6:13" ht="12.75" customHeight="1" x14ac:dyDescent="0.25">
      <c r="F222" s="36"/>
      <c r="G222" s="36"/>
      <c r="H222" s="36"/>
      <c r="I222" s="120"/>
      <c r="J222" s="120"/>
      <c r="K222" s="146"/>
      <c r="L222" s="120"/>
      <c r="M222" s="146"/>
    </row>
    <row r="223" spans="6:13" ht="12.75" customHeight="1" x14ac:dyDescent="0.25">
      <c r="F223" s="36"/>
      <c r="G223" s="36"/>
      <c r="H223" s="36"/>
      <c r="I223" s="120"/>
      <c r="J223" s="120"/>
      <c r="K223" s="146"/>
      <c r="L223" s="120"/>
      <c r="M223" s="120"/>
    </row>
    <row r="224" spans="6:13" ht="12.75" customHeight="1" x14ac:dyDescent="0.25">
      <c r="F224" s="36"/>
      <c r="G224" s="36"/>
      <c r="H224" s="36"/>
      <c r="I224" s="120"/>
      <c r="J224" s="120"/>
      <c r="K224" s="146"/>
      <c r="L224" s="120"/>
      <c r="M224" s="146"/>
    </row>
    <row r="225" spans="6:13" ht="12.75" customHeight="1" x14ac:dyDescent="0.25">
      <c r="F225" s="36"/>
      <c r="G225" s="36"/>
      <c r="H225" s="36"/>
      <c r="I225" s="120"/>
      <c r="J225" s="120"/>
      <c r="K225" s="146"/>
      <c r="L225" s="120"/>
      <c r="M225" s="120"/>
    </row>
    <row r="226" spans="6:13" ht="12.75" customHeight="1" x14ac:dyDescent="0.25">
      <c r="F226" s="36"/>
      <c r="G226" s="36"/>
      <c r="H226" s="36"/>
      <c r="I226" s="120"/>
      <c r="J226" s="120"/>
      <c r="K226" s="146"/>
      <c r="L226" s="120"/>
      <c r="M226" s="146"/>
    </row>
    <row r="227" spans="6:13" ht="12.75" customHeight="1" x14ac:dyDescent="0.25">
      <c r="F227" s="36"/>
      <c r="G227" s="36"/>
      <c r="H227" s="36"/>
      <c r="I227" s="120"/>
      <c r="J227" s="120"/>
      <c r="K227" s="146"/>
      <c r="L227" s="120"/>
      <c r="M227" s="146"/>
    </row>
    <row r="228" spans="6:13" ht="12" customHeight="1" x14ac:dyDescent="0.25">
      <c r="F228" s="36"/>
      <c r="G228" s="36"/>
      <c r="H228" s="36"/>
      <c r="I228" s="120"/>
      <c r="J228" s="120"/>
      <c r="K228" s="146"/>
      <c r="L228" s="120"/>
      <c r="M228" s="120"/>
    </row>
    <row r="229" spans="6:13" ht="12.75" customHeight="1" x14ac:dyDescent="0.25">
      <c r="F229" s="36"/>
      <c r="G229" s="36"/>
      <c r="H229" s="36"/>
      <c r="I229" s="120"/>
      <c r="J229" s="120"/>
      <c r="K229" s="146"/>
      <c r="L229" s="120"/>
      <c r="M229" s="146"/>
    </row>
    <row r="230" spans="6:13" ht="12" customHeight="1" x14ac:dyDescent="0.25">
      <c r="F230" s="36"/>
      <c r="G230" s="36"/>
      <c r="H230" s="36"/>
      <c r="I230" s="120"/>
      <c r="J230" s="120"/>
      <c r="K230" s="146"/>
      <c r="L230" s="120"/>
      <c r="M230" s="120"/>
    </row>
    <row r="231" spans="6:13" ht="12.75" customHeight="1" x14ac:dyDescent="0.25">
      <c r="F231" s="36"/>
      <c r="G231" s="36"/>
      <c r="H231" s="36"/>
      <c r="I231" s="120"/>
      <c r="J231" s="120"/>
      <c r="K231" s="146"/>
      <c r="L231" s="120"/>
      <c r="M231" s="146"/>
    </row>
    <row r="232" spans="6:13" ht="12" customHeight="1" x14ac:dyDescent="0.25">
      <c r="F232" s="36"/>
      <c r="G232" s="36"/>
      <c r="H232" s="36"/>
      <c r="I232" s="120"/>
      <c r="J232" s="120"/>
      <c r="K232" s="146"/>
      <c r="L232" s="120"/>
      <c r="M232" s="120"/>
    </row>
    <row r="233" spans="6:13" ht="12.75" customHeight="1" x14ac:dyDescent="0.25">
      <c r="F233" s="36"/>
      <c r="G233" s="36"/>
      <c r="H233" s="36"/>
      <c r="I233" s="120"/>
      <c r="J233" s="120"/>
      <c r="K233" s="146"/>
      <c r="L233" s="120"/>
      <c r="M233" s="146"/>
    </row>
    <row r="234" spans="6:13" ht="12" customHeight="1" x14ac:dyDescent="0.25">
      <c r="F234" s="36"/>
      <c r="G234" s="36"/>
      <c r="H234" s="36"/>
      <c r="I234" s="120"/>
      <c r="J234" s="120"/>
      <c r="K234" s="146"/>
      <c r="L234" s="120"/>
      <c r="M234" s="120"/>
    </row>
    <row r="235" spans="6:13" ht="12.75" customHeight="1" x14ac:dyDescent="0.25">
      <c r="F235" s="36"/>
      <c r="G235" s="36"/>
      <c r="H235" s="36"/>
      <c r="I235" s="120"/>
      <c r="J235" s="120"/>
      <c r="K235" s="146"/>
      <c r="L235" s="120"/>
      <c r="M235" s="146"/>
    </row>
    <row r="236" spans="6:13" ht="12" customHeight="1" x14ac:dyDescent="0.25">
      <c r="F236" s="36"/>
      <c r="G236" s="36"/>
      <c r="H236" s="36"/>
      <c r="I236" s="120"/>
      <c r="J236" s="120"/>
      <c r="K236" s="146"/>
      <c r="L236" s="120"/>
      <c r="M236" s="120"/>
    </row>
    <row r="237" spans="6:13" ht="12.75" customHeight="1" x14ac:dyDescent="0.25">
      <c r="F237" s="36"/>
      <c r="G237" s="36"/>
      <c r="H237" s="36"/>
      <c r="I237" s="120"/>
      <c r="J237" s="120"/>
      <c r="K237" s="120"/>
      <c r="L237" s="120"/>
      <c r="M237" s="120"/>
    </row>
    <row r="238" spans="6:13" ht="12.75" customHeight="1" x14ac:dyDescent="0.25">
      <c r="F238" s="36"/>
      <c r="G238" s="36"/>
      <c r="H238" s="36"/>
      <c r="I238" s="120"/>
      <c r="J238" s="120"/>
      <c r="K238" s="120"/>
      <c r="L238" s="120"/>
      <c r="M238" s="120"/>
    </row>
    <row r="239" spans="6:13" ht="12.75" customHeight="1" x14ac:dyDescent="0.25">
      <c r="F239" s="36"/>
      <c r="G239" s="36"/>
      <c r="H239" s="36"/>
      <c r="I239" s="120"/>
      <c r="J239" s="120"/>
      <c r="K239" s="120"/>
      <c r="L239" s="120"/>
      <c r="M239" s="120"/>
    </row>
    <row r="240" spans="6:13" ht="12.75" customHeight="1" x14ac:dyDescent="0.25">
      <c r="F240" s="36"/>
      <c r="G240" s="36"/>
      <c r="H240" s="36"/>
      <c r="I240" s="120"/>
      <c r="J240" s="120"/>
      <c r="K240" s="120"/>
      <c r="L240" s="120"/>
      <c r="M240" s="120"/>
    </row>
    <row r="241" spans="6:13" ht="12.75" customHeight="1" x14ac:dyDescent="0.25">
      <c r="F241" s="36"/>
      <c r="G241" s="36"/>
      <c r="H241" s="36"/>
      <c r="I241" s="120"/>
      <c r="J241" s="120"/>
      <c r="K241" s="120"/>
      <c r="L241" s="120"/>
      <c r="M241" s="120"/>
    </row>
    <row r="242" spans="6:13" ht="12.75" customHeight="1" x14ac:dyDescent="0.25">
      <c r="F242" s="36"/>
      <c r="G242" s="36"/>
      <c r="H242" s="36"/>
      <c r="I242" s="120"/>
      <c r="J242" s="120"/>
      <c r="K242" s="146"/>
      <c r="L242" s="120"/>
      <c r="M242" s="146"/>
    </row>
    <row r="243" spans="6:13" ht="12" customHeight="1" x14ac:dyDescent="0.25">
      <c r="F243" s="36"/>
      <c r="G243" s="36"/>
      <c r="H243" s="36"/>
      <c r="I243" s="120"/>
      <c r="J243" s="120"/>
      <c r="K243" s="146"/>
      <c r="L243" s="120"/>
      <c r="M243" s="120"/>
    </row>
    <row r="244" spans="6:13" ht="12.75" customHeight="1" x14ac:dyDescent="0.25">
      <c r="F244" s="36"/>
      <c r="G244" s="36"/>
      <c r="H244" s="36"/>
      <c r="I244" s="120"/>
      <c r="J244" s="120"/>
      <c r="K244" s="157"/>
      <c r="L244" s="157"/>
      <c r="M244" s="120"/>
    </row>
    <row r="245" spans="6:13" ht="12.75" customHeight="1" x14ac:dyDescent="0.25">
      <c r="F245" s="36"/>
      <c r="G245" s="36"/>
      <c r="H245" s="36"/>
      <c r="I245" s="120"/>
      <c r="J245" s="120"/>
      <c r="K245" s="146"/>
      <c r="L245" s="120"/>
      <c r="M245" s="146"/>
    </row>
    <row r="246" spans="6:13" ht="12.75" customHeight="1" x14ac:dyDescent="0.25">
      <c r="F246" s="36"/>
      <c r="G246" s="36"/>
      <c r="H246" s="36"/>
      <c r="I246" s="120"/>
      <c r="J246" s="120"/>
      <c r="K246" s="120"/>
      <c r="L246" s="120"/>
      <c r="M246" s="120"/>
    </row>
    <row r="247" spans="6:13" ht="12.75" customHeight="1" x14ac:dyDescent="0.25">
      <c r="F247" s="36"/>
      <c r="G247" s="36"/>
      <c r="H247" s="36"/>
      <c r="I247" s="120"/>
      <c r="J247" s="120"/>
      <c r="K247" s="120"/>
      <c r="L247" s="120"/>
      <c r="M247" s="120"/>
    </row>
    <row r="248" spans="6:13" ht="12.75" customHeight="1" x14ac:dyDescent="0.25">
      <c r="F248" s="36"/>
      <c r="G248" s="36"/>
      <c r="H248" s="36"/>
      <c r="I248" s="120"/>
      <c r="J248" s="120"/>
      <c r="K248" s="120"/>
      <c r="L248" s="120"/>
      <c r="M248" s="120"/>
    </row>
    <row r="249" spans="6:13" ht="12.75" customHeight="1" x14ac:dyDescent="0.25">
      <c r="F249" s="36"/>
      <c r="G249" s="36"/>
      <c r="H249" s="36"/>
      <c r="I249" s="120"/>
      <c r="J249" s="120"/>
      <c r="K249" s="120"/>
      <c r="L249" s="120"/>
      <c r="M249" s="120"/>
    </row>
    <row r="250" spans="6:13" ht="12.75" customHeight="1" x14ac:dyDescent="0.25">
      <c r="F250" s="36"/>
      <c r="G250" s="36"/>
      <c r="H250" s="36"/>
      <c r="I250" s="120"/>
      <c r="J250" s="120"/>
      <c r="K250" s="120"/>
      <c r="L250" s="120"/>
      <c r="M250" s="120"/>
    </row>
    <row r="251" spans="6:13" ht="12.75" customHeight="1" x14ac:dyDescent="0.25">
      <c r="F251" s="36"/>
      <c r="G251" s="36"/>
      <c r="H251" s="36"/>
      <c r="I251" s="120"/>
      <c r="J251" s="120"/>
      <c r="K251" s="120"/>
      <c r="L251" s="120"/>
      <c r="M251" s="120"/>
    </row>
    <row r="252" spans="6:13" ht="12.75" customHeight="1" x14ac:dyDescent="0.25">
      <c r="F252" s="36"/>
      <c r="G252" s="36"/>
      <c r="H252" s="36"/>
      <c r="I252" s="120"/>
      <c r="J252" s="120"/>
      <c r="K252" s="120"/>
      <c r="L252" s="120"/>
      <c r="M252" s="120"/>
    </row>
    <row r="253" spans="6:13" ht="12.75" customHeight="1" x14ac:dyDescent="0.25">
      <c r="F253" s="36"/>
      <c r="G253" s="36"/>
      <c r="H253" s="36"/>
      <c r="I253" s="120"/>
      <c r="J253" s="120"/>
      <c r="K253" s="120"/>
      <c r="L253" s="120"/>
      <c r="M253" s="120"/>
    </row>
    <row r="254" spans="6:13" ht="12.75" customHeight="1" x14ac:dyDescent="0.25">
      <c r="F254" s="36"/>
      <c r="G254" s="36"/>
      <c r="H254" s="36"/>
      <c r="I254" s="120"/>
      <c r="J254" s="120"/>
      <c r="K254" s="120"/>
      <c r="L254" s="120"/>
      <c r="M254" s="120"/>
    </row>
    <row r="255" spans="6:13" ht="12.75" customHeight="1" x14ac:dyDescent="0.25">
      <c r="F255" s="36"/>
      <c r="G255" s="36"/>
      <c r="H255" s="36"/>
      <c r="I255" s="120"/>
      <c r="J255" s="120"/>
      <c r="K255" s="120"/>
      <c r="L255" s="120"/>
      <c r="M255" s="120"/>
    </row>
    <row r="256" spans="6:13" ht="12.75" customHeight="1" x14ac:dyDescent="0.25">
      <c r="F256" s="36"/>
      <c r="G256" s="36"/>
      <c r="H256" s="36"/>
      <c r="I256" s="120"/>
      <c r="J256" s="120"/>
      <c r="K256" s="120"/>
      <c r="L256" s="120"/>
      <c r="M256" s="120"/>
    </row>
    <row r="257" spans="6:13" ht="12.75" customHeight="1" x14ac:dyDescent="0.25">
      <c r="F257" s="36"/>
      <c r="G257" s="36"/>
      <c r="H257" s="36"/>
      <c r="I257" s="120"/>
      <c r="J257" s="120"/>
      <c r="K257" s="120"/>
      <c r="L257" s="120"/>
      <c r="M257" s="120"/>
    </row>
    <row r="258" spans="6:13" ht="12.75" customHeight="1" x14ac:dyDescent="0.25">
      <c r="F258" s="36"/>
      <c r="G258" s="36"/>
      <c r="H258" s="36"/>
      <c r="I258" s="120"/>
      <c r="J258" s="120"/>
      <c r="K258" s="120"/>
      <c r="L258" s="120"/>
      <c r="M258" s="120"/>
    </row>
    <row r="259" spans="6:13" ht="12.75" customHeight="1" x14ac:dyDescent="0.25">
      <c r="F259" s="36"/>
      <c r="G259" s="36"/>
      <c r="H259" s="36"/>
      <c r="I259" s="120"/>
      <c r="J259" s="120"/>
      <c r="K259" s="120"/>
      <c r="L259" s="120"/>
      <c r="M259" s="120"/>
    </row>
    <row r="260" spans="6:13" ht="12.75" customHeight="1" x14ac:dyDescent="0.25">
      <c r="F260" s="36"/>
      <c r="G260" s="36"/>
      <c r="H260" s="36"/>
      <c r="I260" s="120"/>
      <c r="J260" s="120"/>
      <c r="K260" s="120"/>
      <c r="L260" s="120"/>
      <c r="M260" s="120"/>
    </row>
    <row r="261" spans="6:13" ht="12.75" customHeight="1" x14ac:dyDescent="0.25">
      <c r="F261" s="36"/>
      <c r="G261" s="36"/>
      <c r="H261" s="36"/>
      <c r="I261" s="120"/>
      <c r="J261" s="120"/>
      <c r="K261" s="120"/>
      <c r="L261" s="120"/>
      <c r="M261" s="120"/>
    </row>
    <row r="262" spans="6:13" ht="12.75" customHeight="1" x14ac:dyDescent="0.25">
      <c r="F262" s="36"/>
      <c r="G262" s="36"/>
      <c r="H262" s="36"/>
      <c r="I262" s="120"/>
      <c r="J262" s="120"/>
      <c r="K262" s="120"/>
      <c r="L262" s="120"/>
      <c r="M262" s="120"/>
    </row>
    <row r="263" spans="6:13" ht="12.75" customHeight="1" x14ac:dyDescent="0.25">
      <c r="F263" s="36"/>
      <c r="G263" s="36"/>
      <c r="H263" s="36"/>
      <c r="I263" s="120"/>
      <c r="J263" s="120"/>
      <c r="K263" s="120"/>
      <c r="L263" s="120"/>
      <c r="M263" s="120"/>
    </row>
    <row r="264" spans="6:13" ht="12.75" customHeight="1" x14ac:dyDescent="0.25">
      <c r="F264" s="36"/>
      <c r="G264" s="36"/>
      <c r="H264" s="36"/>
      <c r="I264" s="120"/>
      <c r="J264" s="120"/>
      <c r="K264" s="120"/>
      <c r="L264" s="120"/>
      <c r="M264" s="120"/>
    </row>
    <row r="265" spans="6:13" ht="12.75" customHeight="1" x14ac:dyDescent="0.25">
      <c r="F265" s="36"/>
      <c r="G265" s="36"/>
      <c r="H265" s="36"/>
      <c r="I265" s="120"/>
      <c r="J265" s="120"/>
      <c r="K265" s="120"/>
      <c r="L265" s="120"/>
      <c r="M265" s="120"/>
    </row>
    <row r="266" spans="6:13" ht="12.75" customHeight="1" x14ac:dyDescent="0.25">
      <c r="F266" s="36"/>
      <c r="G266" s="36"/>
      <c r="H266" s="36"/>
      <c r="I266" s="120"/>
      <c r="J266" s="120"/>
      <c r="K266" s="120"/>
      <c r="L266" s="120"/>
      <c r="M266" s="120"/>
    </row>
    <row r="267" spans="6:13" ht="12.75" customHeight="1" x14ac:dyDescent="0.25">
      <c r="F267" s="36"/>
      <c r="G267" s="36"/>
      <c r="H267" s="36"/>
      <c r="I267" s="120"/>
      <c r="J267" s="120"/>
      <c r="K267" s="120"/>
      <c r="L267" s="120"/>
      <c r="M267" s="120"/>
    </row>
    <row r="268" spans="6:13" ht="12.75" customHeight="1" x14ac:dyDescent="0.25">
      <c r="F268" s="36"/>
      <c r="G268" s="36"/>
      <c r="H268" s="36"/>
      <c r="I268" s="120"/>
      <c r="J268" s="120"/>
      <c r="K268" s="120"/>
      <c r="L268" s="120"/>
      <c r="M268" s="120"/>
    </row>
    <row r="269" spans="6:13" ht="12.75" customHeight="1" x14ac:dyDescent="0.25">
      <c r="F269" s="36"/>
      <c r="G269" s="36"/>
      <c r="H269" s="36"/>
      <c r="I269" s="120"/>
      <c r="J269" s="120"/>
      <c r="K269" s="120"/>
      <c r="L269" s="120"/>
      <c r="M269" s="120"/>
    </row>
    <row r="270" spans="6:13" ht="12.75" customHeight="1" x14ac:dyDescent="0.25">
      <c r="F270" s="36"/>
      <c r="G270" s="36"/>
      <c r="H270" s="36"/>
      <c r="I270" s="120"/>
      <c r="J270" s="120"/>
      <c r="K270" s="120"/>
      <c r="L270" s="120"/>
      <c r="M270" s="120"/>
    </row>
    <row r="271" spans="6:13" ht="12.75" customHeight="1" x14ac:dyDescent="0.25">
      <c r="F271" s="36"/>
      <c r="G271" s="36"/>
      <c r="H271" s="36"/>
      <c r="I271" s="120"/>
      <c r="J271" s="120"/>
      <c r="K271" s="120"/>
      <c r="L271" s="120"/>
      <c r="M271" s="120"/>
    </row>
    <row r="272" spans="6:13" ht="12.75" customHeight="1" x14ac:dyDescent="0.25">
      <c r="F272" s="36"/>
      <c r="G272" s="36"/>
      <c r="H272" s="36"/>
      <c r="I272" s="120"/>
      <c r="J272" s="120"/>
      <c r="K272" s="120"/>
      <c r="L272" s="120"/>
      <c r="M272" s="120"/>
    </row>
    <row r="273" spans="6:13" ht="12.75" customHeight="1" x14ac:dyDescent="0.25">
      <c r="F273" s="36"/>
      <c r="G273" s="36"/>
      <c r="H273" s="36"/>
      <c r="I273" s="120"/>
      <c r="J273" s="120"/>
      <c r="K273" s="120"/>
      <c r="L273" s="120"/>
      <c r="M273" s="120"/>
    </row>
    <row r="274" spans="6:13" ht="12.75" customHeight="1" x14ac:dyDescent="0.25">
      <c r="F274" s="36"/>
      <c r="G274" s="36"/>
      <c r="H274" s="36"/>
      <c r="I274" s="120"/>
      <c r="J274" s="120"/>
      <c r="K274" s="120"/>
      <c r="L274" s="120"/>
      <c r="M274" s="120"/>
    </row>
    <row r="275" spans="6:13" ht="12.75" customHeight="1" x14ac:dyDescent="0.25">
      <c r="F275" s="36"/>
      <c r="G275" s="36"/>
      <c r="H275" s="36"/>
      <c r="I275" s="120"/>
      <c r="J275" s="120"/>
      <c r="K275" s="120"/>
      <c r="L275" s="120"/>
      <c r="M275" s="120"/>
    </row>
    <row r="276" spans="6:13" ht="12.75" customHeight="1" x14ac:dyDescent="0.25">
      <c r="F276" s="36"/>
      <c r="G276" s="36"/>
      <c r="H276" s="36"/>
      <c r="I276" s="120"/>
      <c r="J276" s="120"/>
      <c r="K276" s="120"/>
      <c r="L276" s="120"/>
      <c r="M276" s="120"/>
    </row>
    <row r="277" spans="6:13" ht="12.75" customHeight="1" x14ac:dyDescent="0.25">
      <c r="F277" s="36"/>
      <c r="G277" s="36"/>
      <c r="H277" s="36"/>
      <c r="I277" s="120"/>
      <c r="J277" s="120"/>
      <c r="K277" s="120"/>
      <c r="L277" s="120"/>
      <c r="M277" s="120"/>
    </row>
    <row r="278" spans="6:13" ht="12.75" customHeight="1" x14ac:dyDescent="0.25">
      <c r="F278" s="36"/>
      <c r="G278" s="36"/>
      <c r="H278" s="36"/>
      <c r="I278" s="120"/>
      <c r="J278" s="120"/>
      <c r="K278" s="120"/>
      <c r="L278" s="120"/>
      <c r="M278" s="120"/>
    </row>
    <row r="279" spans="6:13" ht="12.75" customHeight="1" x14ac:dyDescent="0.25">
      <c r="F279" s="36"/>
      <c r="G279" s="36"/>
      <c r="H279" s="36"/>
      <c r="I279" s="120"/>
      <c r="J279" s="120"/>
      <c r="K279" s="120"/>
      <c r="L279" s="120"/>
      <c r="M279" s="120"/>
    </row>
    <row r="280" spans="6:13" ht="12.75" customHeight="1" x14ac:dyDescent="0.25">
      <c r="F280" s="36"/>
      <c r="G280" s="36"/>
      <c r="H280" s="36"/>
      <c r="I280" s="120"/>
      <c r="J280" s="120"/>
      <c r="K280" s="120"/>
      <c r="L280" s="120"/>
      <c r="M280" s="120"/>
    </row>
    <row r="281" spans="6:13" ht="12.75" customHeight="1" x14ac:dyDescent="0.25">
      <c r="F281" s="36"/>
      <c r="G281" s="36"/>
      <c r="H281" s="36"/>
      <c r="I281" s="120"/>
      <c r="J281" s="120"/>
      <c r="K281" s="120"/>
      <c r="L281" s="120"/>
      <c r="M281" s="120"/>
    </row>
    <row r="282" spans="6:13" ht="12.75" customHeight="1" x14ac:dyDescent="0.25">
      <c r="F282" s="36"/>
      <c r="G282" s="36"/>
      <c r="H282" s="36"/>
      <c r="I282" s="120"/>
      <c r="J282" s="120"/>
      <c r="K282" s="120"/>
      <c r="L282" s="120"/>
      <c r="M282" s="120"/>
    </row>
    <row r="283" spans="6:13" ht="12.75" customHeight="1" x14ac:dyDescent="0.25">
      <c r="F283" s="36"/>
      <c r="G283" s="36"/>
      <c r="H283" s="36"/>
      <c r="I283" s="120"/>
      <c r="J283" s="120"/>
      <c r="K283" s="120"/>
      <c r="L283" s="120"/>
      <c r="M283" s="120"/>
    </row>
    <row r="284" spans="6:13" ht="12.75" customHeight="1" x14ac:dyDescent="0.25">
      <c r="F284" s="36"/>
      <c r="G284" s="36"/>
      <c r="H284" s="36"/>
      <c r="I284" s="120"/>
      <c r="J284" s="120"/>
      <c r="K284" s="120"/>
      <c r="L284" s="120"/>
      <c r="M284" s="120"/>
    </row>
    <row r="285" spans="6:13" ht="12.75" customHeight="1" x14ac:dyDescent="0.25">
      <c r="F285" s="36"/>
      <c r="G285" s="36"/>
      <c r="H285" s="36"/>
      <c r="I285" s="120"/>
      <c r="J285" s="120"/>
      <c r="K285" s="120"/>
      <c r="L285" s="120"/>
      <c r="M285" s="120"/>
    </row>
    <row r="286" spans="6:13" ht="12.75" customHeight="1" x14ac:dyDescent="0.25">
      <c r="F286" s="36"/>
      <c r="G286" s="36"/>
      <c r="H286" s="36"/>
      <c r="I286" s="120"/>
      <c r="J286" s="120"/>
      <c r="K286" s="120"/>
      <c r="L286" s="120"/>
      <c r="M286" s="120"/>
    </row>
    <row r="287" spans="6:13" ht="12.75" customHeight="1" x14ac:dyDescent="0.25">
      <c r="F287" s="36"/>
      <c r="G287" s="36"/>
      <c r="H287" s="36"/>
      <c r="I287" s="120"/>
      <c r="J287" s="120"/>
      <c r="K287" s="120"/>
      <c r="L287" s="120"/>
      <c r="M287" s="120"/>
    </row>
    <row r="288" spans="6:13" ht="12.75" customHeight="1" x14ac:dyDescent="0.25">
      <c r="F288" s="36"/>
      <c r="G288" s="36"/>
      <c r="H288" s="36"/>
      <c r="I288" s="120"/>
      <c r="J288" s="120"/>
      <c r="K288" s="120"/>
      <c r="L288" s="120"/>
      <c r="M288" s="120"/>
    </row>
    <row r="289" spans="6:13" ht="12.75" customHeight="1" x14ac:dyDescent="0.25">
      <c r="F289" s="36"/>
      <c r="G289" s="36"/>
      <c r="H289" s="36"/>
      <c r="I289" s="120"/>
      <c r="J289" s="120"/>
      <c r="K289" s="120"/>
      <c r="L289" s="120"/>
      <c r="M289" s="120"/>
    </row>
    <row r="290" spans="6:13" ht="12.75" customHeight="1" x14ac:dyDescent="0.25">
      <c r="F290" s="36"/>
      <c r="G290" s="36"/>
      <c r="H290" s="36"/>
      <c r="I290" s="120"/>
      <c r="J290" s="120"/>
      <c r="K290" s="120"/>
      <c r="L290" s="120"/>
      <c r="M290" s="120"/>
    </row>
    <row r="291" spans="6:13" ht="12.75" customHeight="1" x14ac:dyDescent="0.25">
      <c r="F291" s="36"/>
      <c r="G291" s="36"/>
      <c r="H291" s="36"/>
      <c r="I291" s="120"/>
      <c r="J291" s="120"/>
      <c r="K291" s="120"/>
      <c r="L291" s="120"/>
      <c r="M291" s="120"/>
    </row>
    <row r="292" spans="6:13" ht="12.75" customHeight="1" x14ac:dyDescent="0.25">
      <c r="F292" s="36"/>
      <c r="G292" s="36"/>
      <c r="H292" s="36"/>
      <c r="I292" s="120"/>
      <c r="J292" s="120"/>
      <c r="K292" s="120"/>
      <c r="L292" s="120"/>
      <c r="M292" s="120"/>
    </row>
    <row r="293" spans="6:13" ht="12.75" customHeight="1" x14ac:dyDescent="0.25">
      <c r="F293" s="36"/>
      <c r="G293" s="36"/>
      <c r="H293" s="36"/>
      <c r="I293" s="120"/>
      <c r="J293" s="120"/>
      <c r="K293" s="120"/>
      <c r="L293" s="120"/>
      <c r="M293" s="120"/>
    </row>
    <row r="294" spans="6:13" ht="12.75" customHeight="1" x14ac:dyDescent="0.25">
      <c r="F294" s="36"/>
      <c r="G294" s="36"/>
      <c r="H294" s="36"/>
      <c r="I294" s="120"/>
      <c r="J294" s="120"/>
      <c r="K294" s="120"/>
      <c r="L294" s="120"/>
      <c r="M294" s="120"/>
    </row>
    <row r="295" spans="6:13" ht="12.75" customHeight="1" x14ac:dyDescent="0.25">
      <c r="F295" s="36"/>
      <c r="G295" s="36"/>
      <c r="H295" s="36"/>
      <c r="I295" s="120"/>
      <c r="J295" s="120"/>
      <c r="K295" s="120"/>
      <c r="L295" s="120"/>
      <c r="M295" s="120"/>
    </row>
    <row r="296" spans="6:13" ht="12.75" customHeight="1" x14ac:dyDescent="0.25">
      <c r="F296" s="36"/>
      <c r="G296" s="36"/>
      <c r="H296" s="36"/>
      <c r="I296" s="120"/>
      <c r="J296" s="120"/>
      <c r="K296" s="120"/>
      <c r="L296" s="120"/>
      <c r="M296" s="120"/>
    </row>
    <row r="297" spans="6:13" ht="12.75" customHeight="1" x14ac:dyDescent="0.25">
      <c r="F297" s="36"/>
      <c r="G297" s="36"/>
      <c r="H297" s="36"/>
      <c r="I297" s="120"/>
      <c r="J297" s="120"/>
      <c r="K297" s="120"/>
      <c r="L297" s="120"/>
      <c r="M297" s="120"/>
    </row>
    <row r="298" spans="6:13" ht="12.75" customHeight="1" x14ac:dyDescent="0.25">
      <c r="F298" s="36"/>
      <c r="G298" s="36"/>
      <c r="H298" s="36"/>
      <c r="I298" s="120"/>
      <c r="J298" s="120"/>
      <c r="K298" s="120"/>
      <c r="L298" s="120"/>
      <c r="M298" s="120"/>
    </row>
    <row r="299" spans="6:13" ht="12.75" customHeight="1" x14ac:dyDescent="0.25">
      <c r="F299" s="36"/>
      <c r="G299" s="36"/>
      <c r="H299" s="36"/>
      <c r="I299" s="120"/>
      <c r="J299" s="120"/>
      <c r="K299" s="120"/>
      <c r="L299" s="120"/>
      <c r="M299" s="120"/>
    </row>
    <row r="300" spans="6:13" ht="12.75" customHeight="1" x14ac:dyDescent="0.25">
      <c r="F300" s="36"/>
      <c r="G300" s="36"/>
      <c r="H300" s="36"/>
      <c r="I300" s="120"/>
      <c r="J300" s="120"/>
      <c r="K300" s="120"/>
      <c r="L300" s="120"/>
      <c r="M300" s="120"/>
    </row>
    <row r="301" spans="6:13" ht="12.75" customHeight="1" x14ac:dyDescent="0.25">
      <c r="F301" s="36"/>
      <c r="G301" s="36"/>
      <c r="H301" s="36"/>
      <c r="I301" s="120"/>
      <c r="J301" s="120"/>
      <c r="K301" s="120"/>
      <c r="L301" s="120"/>
      <c r="M301" s="120"/>
    </row>
    <row r="302" spans="6:13" ht="12.75" customHeight="1" x14ac:dyDescent="0.25">
      <c r="F302" s="36"/>
      <c r="G302" s="36"/>
      <c r="H302" s="36"/>
      <c r="I302" s="120"/>
      <c r="J302" s="120"/>
      <c r="K302" s="120"/>
      <c r="L302" s="120"/>
      <c r="M302" s="120"/>
    </row>
    <row r="303" spans="6:13" ht="12.75" customHeight="1" x14ac:dyDescent="0.25">
      <c r="F303" s="36"/>
      <c r="G303" s="36"/>
      <c r="H303" s="36"/>
      <c r="I303" s="120"/>
      <c r="J303" s="120"/>
      <c r="K303" s="120"/>
      <c r="L303" s="120"/>
      <c r="M303" s="120"/>
    </row>
    <row r="304" spans="6:13" ht="12.75" customHeight="1" x14ac:dyDescent="0.25">
      <c r="F304" s="36"/>
      <c r="G304" s="36"/>
      <c r="H304" s="36"/>
      <c r="I304" s="120"/>
      <c r="J304" s="120"/>
      <c r="K304" s="120"/>
      <c r="L304" s="120"/>
      <c r="M304" s="120"/>
    </row>
    <row r="305" spans="6:13" ht="12.75" customHeight="1" x14ac:dyDescent="0.25">
      <c r="F305" s="36"/>
      <c r="G305" s="36"/>
      <c r="H305" s="36"/>
      <c r="I305" s="120"/>
      <c r="J305" s="120"/>
      <c r="K305" s="120"/>
      <c r="L305" s="120"/>
      <c r="M305" s="120"/>
    </row>
    <row r="306" spans="6:13" ht="12.75" customHeight="1" x14ac:dyDescent="0.25">
      <c r="F306" s="36"/>
      <c r="G306" s="36"/>
      <c r="H306" s="36"/>
      <c r="I306" s="120"/>
      <c r="J306" s="120"/>
      <c r="K306" s="120"/>
      <c r="L306" s="120"/>
      <c r="M306" s="120"/>
    </row>
    <row r="307" spans="6:13" ht="12.75" customHeight="1" x14ac:dyDescent="0.25">
      <c r="F307" s="36"/>
      <c r="G307" s="36"/>
      <c r="H307" s="36"/>
      <c r="I307" s="120"/>
      <c r="J307" s="120"/>
      <c r="K307" s="120"/>
      <c r="L307" s="120"/>
      <c r="M307" s="120"/>
    </row>
    <row r="308" spans="6:13" ht="12.75" customHeight="1" x14ac:dyDescent="0.25">
      <c r="F308" s="36"/>
      <c r="G308" s="36"/>
      <c r="H308" s="36"/>
      <c r="I308" s="120"/>
      <c r="J308" s="120"/>
      <c r="K308" s="120"/>
      <c r="L308" s="120"/>
      <c r="M308" s="120"/>
    </row>
    <row r="309" spans="6:13" ht="12.75" customHeight="1" x14ac:dyDescent="0.25">
      <c r="F309" s="36"/>
      <c r="G309" s="36"/>
      <c r="H309" s="36"/>
      <c r="I309" s="120"/>
      <c r="J309" s="120"/>
      <c r="K309" s="120"/>
      <c r="L309" s="120"/>
      <c r="M309" s="120"/>
    </row>
    <row r="310" spans="6:13" ht="12.75" customHeight="1" x14ac:dyDescent="0.25">
      <c r="F310" s="36"/>
      <c r="G310" s="36"/>
      <c r="H310" s="36"/>
      <c r="I310" s="120"/>
      <c r="J310" s="120"/>
      <c r="K310" s="120"/>
      <c r="L310" s="120"/>
      <c r="M310" s="120"/>
    </row>
    <row r="311" spans="6:13" ht="12.75" customHeight="1" x14ac:dyDescent="0.25">
      <c r="F311" s="36"/>
      <c r="G311" s="36"/>
      <c r="H311" s="36"/>
      <c r="I311" s="120"/>
      <c r="J311" s="120"/>
      <c r="K311" s="120"/>
      <c r="L311" s="120"/>
      <c r="M311" s="120"/>
    </row>
    <row r="312" spans="6:13" ht="12.75" customHeight="1" x14ac:dyDescent="0.25">
      <c r="F312" s="36"/>
      <c r="G312" s="36"/>
      <c r="H312" s="36"/>
      <c r="I312" s="120"/>
      <c r="J312" s="120"/>
      <c r="K312" s="120"/>
      <c r="L312" s="120"/>
      <c r="M312" s="120"/>
    </row>
    <row r="313" spans="6:13" ht="12.75" customHeight="1" x14ac:dyDescent="0.25">
      <c r="F313" s="36"/>
      <c r="G313" s="36"/>
      <c r="H313" s="36"/>
      <c r="I313" s="120"/>
      <c r="J313" s="120"/>
      <c r="K313" s="120"/>
      <c r="L313" s="120"/>
      <c r="M313" s="120"/>
    </row>
    <row r="314" spans="6:13" ht="12.75" customHeight="1" x14ac:dyDescent="0.25">
      <c r="F314" s="36"/>
      <c r="G314" s="36"/>
      <c r="H314" s="36"/>
      <c r="I314" s="120"/>
      <c r="J314" s="120"/>
      <c r="K314" s="120"/>
      <c r="L314" s="120"/>
      <c r="M314" s="120"/>
    </row>
    <row r="315" spans="6:13" ht="12.75" customHeight="1" x14ac:dyDescent="0.25">
      <c r="F315" s="36"/>
      <c r="G315" s="36"/>
      <c r="H315" s="36"/>
      <c r="I315" s="120"/>
      <c r="J315" s="120"/>
      <c r="K315" s="120"/>
      <c r="L315" s="120"/>
      <c r="M315" s="120"/>
    </row>
    <row r="316" spans="6:13" ht="12.75" customHeight="1" x14ac:dyDescent="0.25">
      <c r="F316" s="36"/>
      <c r="G316" s="36"/>
      <c r="H316" s="36"/>
      <c r="I316" s="120"/>
      <c r="J316" s="120"/>
      <c r="K316" s="120"/>
      <c r="L316" s="120"/>
      <c r="M316" s="120"/>
    </row>
    <row r="317" spans="6:13" ht="12.75" customHeight="1" x14ac:dyDescent="0.25">
      <c r="F317" s="36"/>
      <c r="G317" s="36"/>
      <c r="H317" s="36"/>
      <c r="I317" s="120"/>
      <c r="J317" s="120"/>
      <c r="K317" s="120"/>
      <c r="L317" s="120"/>
      <c r="M317" s="120"/>
    </row>
    <row r="318" spans="6:13" ht="12.75" customHeight="1" x14ac:dyDescent="0.25">
      <c r="F318" s="36"/>
      <c r="G318" s="36"/>
      <c r="H318" s="36"/>
      <c r="I318" s="120"/>
      <c r="J318" s="120"/>
      <c r="K318" s="120"/>
      <c r="L318" s="120"/>
      <c r="M318" s="120"/>
    </row>
    <row r="319" spans="6:13" ht="12.75" customHeight="1" x14ac:dyDescent="0.25">
      <c r="F319" s="36"/>
      <c r="G319" s="36"/>
      <c r="H319" s="36"/>
      <c r="I319" s="120"/>
      <c r="J319" s="120"/>
      <c r="K319" s="120"/>
      <c r="L319" s="120"/>
      <c r="M319" s="120"/>
    </row>
    <row r="320" spans="6:13" ht="12.75" customHeight="1" x14ac:dyDescent="0.25">
      <c r="F320" s="36"/>
      <c r="G320" s="36"/>
      <c r="H320" s="36"/>
      <c r="I320" s="120"/>
      <c r="J320" s="120"/>
      <c r="K320" s="120"/>
      <c r="L320" s="120"/>
      <c r="M320" s="120"/>
    </row>
    <row r="321" spans="6:13" ht="12.75" customHeight="1" x14ac:dyDescent="0.25">
      <c r="F321" s="36"/>
      <c r="G321" s="36"/>
      <c r="H321" s="36"/>
      <c r="I321" s="120"/>
      <c r="J321" s="120"/>
      <c r="K321" s="120"/>
      <c r="L321" s="120"/>
      <c r="M321" s="120"/>
    </row>
    <row r="322" spans="6:13" ht="12.75" customHeight="1" x14ac:dyDescent="0.25">
      <c r="F322" s="36"/>
      <c r="G322" s="36"/>
      <c r="H322" s="36"/>
      <c r="I322" s="120"/>
      <c r="J322" s="120"/>
      <c r="K322" s="120"/>
      <c r="L322" s="120"/>
      <c r="M322" s="120"/>
    </row>
    <row r="323" spans="6:13" ht="12.75" customHeight="1" x14ac:dyDescent="0.25">
      <c r="F323" s="36"/>
      <c r="G323" s="36"/>
      <c r="H323" s="36"/>
      <c r="I323" s="120"/>
      <c r="J323" s="120"/>
      <c r="K323" s="120"/>
      <c r="L323" s="120"/>
      <c r="M323" s="120"/>
    </row>
    <row r="324" spans="6:13" ht="12.75" customHeight="1" x14ac:dyDescent="0.25">
      <c r="F324" s="36"/>
      <c r="G324" s="36"/>
      <c r="H324" s="36"/>
      <c r="I324" s="120"/>
      <c r="J324" s="120"/>
      <c r="K324" s="120"/>
      <c r="L324" s="120"/>
      <c r="M324" s="120"/>
    </row>
    <row r="325" spans="6:13" ht="12.75" customHeight="1" x14ac:dyDescent="0.25">
      <c r="F325" s="36"/>
      <c r="G325" s="36"/>
      <c r="H325" s="36"/>
      <c r="I325" s="120"/>
      <c r="J325" s="120"/>
      <c r="K325" s="120"/>
      <c r="L325" s="120"/>
      <c r="M325" s="120"/>
    </row>
    <row r="326" spans="6:13" ht="12.75" customHeight="1" x14ac:dyDescent="0.25">
      <c r="F326" s="36"/>
      <c r="G326" s="36"/>
      <c r="H326" s="36"/>
      <c r="I326" s="120"/>
      <c r="J326" s="120"/>
      <c r="K326" s="120"/>
      <c r="L326" s="120"/>
      <c r="M326" s="120"/>
    </row>
    <row r="327" spans="6:13" ht="12.75" customHeight="1" x14ac:dyDescent="0.25">
      <c r="F327" s="36"/>
      <c r="G327" s="36"/>
      <c r="H327" s="36"/>
      <c r="I327" s="120"/>
      <c r="J327" s="120"/>
      <c r="K327" s="120"/>
      <c r="L327" s="120"/>
      <c r="M327" s="120"/>
    </row>
    <row r="328" spans="6:13" ht="12.75" customHeight="1" x14ac:dyDescent="0.25">
      <c r="F328" s="36"/>
      <c r="G328" s="36"/>
      <c r="H328" s="36"/>
      <c r="I328" s="120"/>
      <c r="J328" s="120"/>
      <c r="K328" s="120"/>
      <c r="L328" s="120"/>
      <c r="M328" s="120"/>
    </row>
    <row r="329" spans="6:13" ht="12.75" customHeight="1" x14ac:dyDescent="0.25">
      <c r="F329" s="36"/>
      <c r="G329" s="36"/>
      <c r="H329" s="36"/>
      <c r="I329" s="120"/>
      <c r="J329" s="120"/>
      <c r="K329" s="120"/>
      <c r="L329" s="120"/>
      <c r="M329" s="120"/>
    </row>
    <row r="330" spans="6:13" ht="12.75" customHeight="1" x14ac:dyDescent="0.25">
      <c r="F330" s="36"/>
      <c r="G330" s="36"/>
      <c r="H330" s="36"/>
      <c r="I330" s="120"/>
      <c r="J330" s="120"/>
      <c r="K330" s="120"/>
      <c r="L330" s="120"/>
      <c r="M330" s="120"/>
    </row>
    <row r="331" spans="6:13" ht="12.75" customHeight="1" x14ac:dyDescent="0.25">
      <c r="F331" s="36"/>
      <c r="G331" s="36"/>
      <c r="H331" s="36"/>
      <c r="I331" s="120"/>
      <c r="J331" s="120"/>
      <c r="K331" s="120"/>
      <c r="L331" s="120"/>
      <c r="M331" s="120"/>
    </row>
    <row r="332" spans="6:13" ht="12.75" customHeight="1" x14ac:dyDescent="0.25">
      <c r="F332" s="36"/>
      <c r="G332" s="36"/>
      <c r="H332" s="36"/>
      <c r="I332" s="120"/>
      <c r="J332" s="120"/>
      <c r="K332" s="120"/>
      <c r="L332" s="120"/>
      <c r="M332" s="120"/>
    </row>
    <row r="333" spans="6:13" ht="12.75" customHeight="1" x14ac:dyDescent="0.25">
      <c r="F333" s="36"/>
      <c r="G333" s="36"/>
      <c r="H333" s="36"/>
      <c r="I333" s="120"/>
      <c r="J333" s="120"/>
      <c r="K333" s="120"/>
      <c r="L333" s="120"/>
      <c r="M333" s="120"/>
    </row>
    <row r="334" spans="6:13" ht="12.75" customHeight="1" x14ac:dyDescent="0.25">
      <c r="F334" s="36"/>
      <c r="G334" s="36"/>
      <c r="H334" s="36"/>
      <c r="I334" s="120"/>
      <c r="J334" s="120"/>
      <c r="K334" s="120"/>
      <c r="L334" s="120"/>
      <c r="M334" s="120"/>
    </row>
    <row r="335" spans="6:13" ht="12.75" customHeight="1" x14ac:dyDescent="0.25">
      <c r="F335" s="36"/>
      <c r="G335" s="36"/>
      <c r="H335" s="36"/>
    </row>
    <row r="336" spans="6:13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/>
    <row r="815" spans="6:8" ht="12.75" customHeight="1" x14ac:dyDescent="0.25"/>
    <row r="816" spans="6:8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  <row r="1001" ht="12.75" customHeight="1" x14ac:dyDescent="0.25"/>
  </sheetData>
  <mergeCells count="1">
    <mergeCell ref="I4:K4"/>
  </mergeCells>
  <dataValidations count="1">
    <dataValidation type="list" allowBlank="1" showErrorMessage="1" sqref="F1" xr:uid="{00000000-0002-0000-0C00-000001000000}">
      <formula1>Years</formula1>
    </dataValidation>
  </dataValidations>
  <pageMargins left="0.75" right="0.75" top="1" bottom="1" header="0" footer="0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D1000"/>
  <sheetViews>
    <sheetView workbookViewId="0">
      <selection activeCell="A7" sqref="A7"/>
    </sheetView>
  </sheetViews>
  <sheetFormatPr defaultColWidth="12.54296875" defaultRowHeight="15" customHeight="1" x14ac:dyDescent="0.25"/>
  <cols>
    <col min="1" max="26" width="8.54296875" customWidth="1"/>
  </cols>
  <sheetData>
    <row r="1" spans="1:4" ht="12.75" customHeight="1" x14ac:dyDescent="0.25">
      <c r="C1" t="s">
        <v>123</v>
      </c>
      <c r="D1" t="s">
        <v>152</v>
      </c>
    </row>
    <row r="2" spans="1:4" ht="12.75" customHeight="1" x14ac:dyDescent="0.25">
      <c r="A2" s="30">
        <v>1</v>
      </c>
      <c r="B2" s="30">
        <v>0</v>
      </c>
      <c r="C2" s="30" t="s">
        <v>102</v>
      </c>
      <c r="D2" s="30">
        <v>2006</v>
      </c>
    </row>
    <row r="3" spans="1:4" ht="12.75" customHeight="1" x14ac:dyDescent="0.25">
      <c r="A3" s="30">
        <v>2</v>
      </c>
      <c r="B3" s="30">
        <v>1</v>
      </c>
      <c r="C3" s="30" t="s">
        <v>103</v>
      </c>
      <c r="D3" s="30">
        <f t="shared" ref="D3:D19" si="0">D2+1</f>
        <v>2007</v>
      </c>
    </row>
    <row r="4" spans="1:4" ht="12.75" customHeight="1" x14ac:dyDescent="0.25">
      <c r="A4" s="30">
        <v>3</v>
      </c>
      <c r="B4" s="30">
        <v>2</v>
      </c>
      <c r="C4" s="30" t="s">
        <v>104</v>
      </c>
      <c r="D4" s="30">
        <f t="shared" si="0"/>
        <v>2008</v>
      </c>
    </row>
    <row r="5" spans="1:4" ht="12.75" customHeight="1" x14ac:dyDescent="0.25">
      <c r="A5" s="30">
        <v>4</v>
      </c>
      <c r="B5" s="30">
        <v>3</v>
      </c>
      <c r="C5" s="30" t="s">
        <v>105</v>
      </c>
      <c r="D5" s="30">
        <f t="shared" si="0"/>
        <v>2009</v>
      </c>
    </row>
    <row r="6" spans="1:4" ht="12.75" customHeight="1" x14ac:dyDescent="0.25">
      <c r="A6" s="30">
        <v>5</v>
      </c>
      <c r="B6" s="30">
        <v>4</v>
      </c>
      <c r="C6" s="30" t="s">
        <v>106</v>
      </c>
      <c r="D6" s="30">
        <f t="shared" si="0"/>
        <v>2010</v>
      </c>
    </row>
    <row r="7" spans="1:4" ht="12.75" customHeight="1" x14ac:dyDescent="0.25">
      <c r="A7" s="30">
        <v>6</v>
      </c>
      <c r="B7" s="30">
        <v>5</v>
      </c>
      <c r="C7" s="30" t="s">
        <v>107</v>
      </c>
      <c r="D7" s="30">
        <f t="shared" si="0"/>
        <v>2011</v>
      </c>
    </row>
    <row r="8" spans="1:4" ht="12.75" customHeight="1" x14ac:dyDescent="0.25">
      <c r="A8" s="30">
        <v>7</v>
      </c>
      <c r="B8" s="30">
        <v>6</v>
      </c>
      <c r="C8" s="30" t="s">
        <v>108</v>
      </c>
      <c r="D8" s="30">
        <f t="shared" si="0"/>
        <v>2012</v>
      </c>
    </row>
    <row r="9" spans="1:4" ht="12.75" customHeight="1" x14ac:dyDescent="0.25">
      <c r="A9" s="30">
        <v>8</v>
      </c>
      <c r="B9" s="30">
        <v>7</v>
      </c>
      <c r="C9" s="30" t="s">
        <v>109</v>
      </c>
      <c r="D9" s="30">
        <f t="shared" si="0"/>
        <v>2013</v>
      </c>
    </row>
    <row r="10" spans="1:4" ht="12.75" customHeight="1" x14ac:dyDescent="0.25">
      <c r="A10" s="30">
        <v>9</v>
      </c>
      <c r="B10" s="30">
        <v>8</v>
      </c>
      <c r="C10" s="30" t="s">
        <v>110</v>
      </c>
      <c r="D10" s="30">
        <f t="shared" si="0"/>
        <v>2014</v>
      </c>
    </row>
    <row r="11" spans="1:4" ht="12.75" customHeight="1" x14ac:dyDescent="0.25">
      <c r="A11" s="30">
        <v>10</v>
      </c>
      <c r="B11" s="30">
        <v>9</v>
      </c>
      <c r="C11" s="30" t="s">
        <v>111</v>
      </c>
      <c r="D11" s="30">
        <f t="shared" si="0"/>
        <v>2015</v>
      </c>
    </row>
    <row r="12" spans="1:4" ht="12.75" customHeight="1" x14ac:dyDescent="0.25">
      <c r="A12" s="30">
        <v>11</v>
      </c>
      <c r="B12" s="30">
        <v>10</v>
      </c>
      <c r="C12" s="30" t="s">
        <v>112</v>
      </c>
      <c r="D12" s="30">
        <f t="shared" si="0"/>
        <v>2016</v>
      </c>
    </row>
    <row r="13" spans="1:4" ht="12.75" customHeight="1" x14ac:dyDescent="0.25">
      <c r="A13" s="30">
        <v>12</v>
      </c>
      <c r="B13" s="30">
        <v>11</v>
      </c>
      <c r="C13" s="30" t="s">
        <v>113</v>
      </c>
      <c r="D13" s="30">
        <f t="shared" si="0"/>
        <v>2017</v>
      </c>
    </row>
    <row r="14" spans="1:4" ht="12.75" customHeight="1" x14ac:dyDescent="0.25">
      <c r="D14" s="30">
        <f t="shared" si="0"/>
        <v>2018</v>
      </c>
    </row>
    <row r="15" spans="1:4" ht="12.75" customHeight="1" x14ac:dyDescent="0.25">
      <c r="D15" s="30">
        <f t="shared" si="0"/>
        <v>2019</v>
      </c>
    </row>
    <row r="16" spans="1:4" ht="12.75" customHeight="1" x14ac:dyDescent="0.25">
      <c r="D16" s="30">
        <f t="shared" si="0"/>
        <v>2020</v>
      </c>
    </row>
    <row r="17" spans="4:4" ht="12.75" customHeight="1" x14ac:dyDescent="0.25">
      <c r="D17" s="30">
        <f t="shared" si="0"/>
        <v>2021</v>
      </c>
    </row>
    <row r="18" spans="4:4" ht="12.75" customHeight="1" x14ac:dyDescent="0.25">
      <c r="D18" s="30">
        <f t="shared" si="0"/>
        <v>2022</v>
      </c>
    </row>
    <row r="19" spans="4:4" ht="12.75" customHeight="1" x14ac:dyDescent="0.25">
      <c r="D19" s="30">
        <f t="shared" si="0"/>
        <v>2023</v>
      </c>
    </row>
    <row r="20" spans="4:4" ht="12.75" customHeight="1" x14ac:dyDescent="0.25"/>
    <row r="21" spans="4:4" ht="12.75" customHeight="1" x14ac:dyDescent="0.25"/>
    <row r="22" spans="4:4" ht="12.75" customHeight="1" x14ac:dyDescent="0.25"/>
    <row r="23" spans="4:4" ht="12.75" customHeight="1" x14ac:dyDescent="0.25"/>
    <row r="24" spans="4:4" ht="12.75" customHeight="1" x14ac:dyDescent="0.25"/>
    <row r="25" spans="4:4" ht="12.75" customHeight="1" x14ac:dyDescent="0.25"/>
    <row r="26" spans="4:4" ht="12.75" customHeight="1" x14ac:dyDescent="0.25"/>
    <row r="27" spans="4:4" ht="12.75" customHeight="1" x14ac:dyDescent="0.25"/>
    <row r="28" spans="4:4" ht="12.75" customHeight="1" x14ac:dyDescent="0.25"/>
    <row r="29" spans="4:4" ht="12.75" customHeight="1" x14ac:dyDescent="0.25"/>
    <row r="30" spans="4:4" ht="12.75" customHeight="1" x14ac:dyDescent="0.25"/>
    <row r="31" spans="4:4" ht="12.75" customHeight="1" x14ac:dyDescent="0.25"/>
    <row r="32" spans="4:4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PrivTax-old</vt:lpstr>
      <vt:lpstr>1029</vt:lpstr>
      <vt:lpstr>35736</vt:lpstr>
      <vt:lpstr>2592</vt:lpstr>
      <vt:lpstr>5436</vt:lpstr>
      <vt:lpstr>932</vt:lpstr>
      <vt:lpstr>2614</vt:lpstr>
      <vt:lpstr>8995</vt:lpstr>
      <vt:lpstr>9001</vt:lpstr>
      <vt:lpstr>Lists</vt:lpstr>
      <vt:lpstr>Months</vt:lpstr>
      <vt:lpstr>Rent</vt:lpstr>
      <vt:lpstr>TextMonths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Suthar</dc:creator>
  <cp:lastModifiedBy>John Garvey</cp:lastModifiedBy>
  <dcterms:created xsi:type="dcterms:W3CDTF">2006-06-21T02:20:14Z</dcterms:created>
  <dcterms:modified xsi:type="dcterms:W3CDTF">2023-05-05T03:39:30Z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-1213259438</vt:i4>
  </property>
  <property fmtid="{D5CDD505-2E9C-101B-9397-08002B2CF9AE}" pid="3" name="_NewReviewCycle">
    <vt:lpwstr/>
  </property>
  <property fmtid="{D5CDD505-2E9C-101B-9397-08002B2CF9AE}" pid="4" name="_EmailSubject">
    <vt:lpwstr>What up?</vt:lpwstr>
  </property>
  <property fmtid="{D5CDD505-2E9C-101B-9397-08002B2CF9AE}" pid="5" name="_AuthorEmail">
    <vt:lpwstr>anirmal@cadence.com</vt:lpwstr>
  </property>
  <property fmtid="{D5CDD505-2E9C-101B-9397-08002B2CF9AE}" pid="6" name="_AuthorEmailDisplayName">
    <vt:lpwstr>Axay Nirmal</vt:lpwstr>
  </property>
  <property fmtid="{D5CDD505-2E9C-101B-9397-08002B2CF9AE}" pid="7" name="_ReviewingToolsShownOnce">
    <vt:lpwstr/>
  </property>
  <property fmtid="{D5CDD505-2E9C-101B-9397-08002B2CF9AE}" pid="8" name="TitusGUID">
    <vt:lpwstr>4965ed8d-d79f-4238-8493-1c7261320cfb</vt:lpwstr>
  </property>
  <property fmtid="{D5CDD505-2E9C-101B-9397-08002B2CF9AE}" pid="9" name="CTP_TimeStamp">
    <vt:lpwstr>2019-01-02 04:37:01Z</vt:lpwstr>
  </property>
  <property fmtid="{D5CDD505-2E9C-101B-9397-08002B2CF9AE}" pid="10" name="CTP_BU">
    <vt:lpwstr>NA</vt:lpwstr>
  </property>
  <property fmtid="{D5CDD505-2E9C-101B-9397-08002B2CF9AE}" pid="11" name="CTP_IDSID">
    <vt:lpwstr>NA</vt:lpwstr>
  </property>
  <property fmtid="{D5CDD505-2E9C-101B-9397-08002B2CF9AE}" pid="12" name="CTP_WWID">
    <vt:lpwstr>NA</vt:lpwstr>
  </property>
  <property fmtid="{D5CDD505-2E9C-101B-9397-08002B2CF9AE}" pid="13" name="CTPClassification">
    <vt:lpwstr>CTP_NT</vt:lpwstr>
  </property>
</Properties>
</file>